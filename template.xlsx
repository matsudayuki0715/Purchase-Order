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4495" windowHeight="13305" tabRatio="600" firstSheet="0" activeTab="1" autoFilterDateGrouping="1"/>
  </bookViews>
  <sheets>
    <sheet xmlns:r="http://schemas.openxmlformats.org/officeDocument/2006/relationships" name="発注書中身" sheetId="1" state="visible" r:id="rId1"/>
    <sheet xmlns:r="http://schemas.openxmlformats.org/officeDocument/2006/relationships" name="発注書" sheetId="2" state="visible" r:id="rId2"/>
    <sheet xmlns:r="http://schemas.openxmlformats.org/officeDocument/2006/relationships" name="リスト" sheetId="3" state="visible" r:id="rId3"/>
  </sheets>
  <definedNames>
    <definedName name="_xlnm.Print_Area" localSheetId="1">'発注書'!$A$1:$BK$98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&quot;¥&quot;#,##0&quot;-&quot;;&quot;¥&quot;\-#,##0&quot;-&quot;"/>
    <numFmt numFmtId="166" formatCode="yyyy&quot;年&quot;m&quot;月&quot;d&quot;日&quot;;@"/>
  </numFmts>
  <fonts count="12">
    <font>
      <name val="Meiryo UI"/>
      <charset val="128"/>
      <family val="2"/>
      <color theme="1"/>
      <sz val="10"/>
    </font>
    <font>
      <name val="Meiryo UI"/>
      <charset val="128"/>
      <family val="2"/>
      <sz val="6"/>
    </font>
    <font>
      <name val="ＭＳ Ｐゴシック"/>
      <charset val="128"/>
      <family val="3"/>
      <sz val="6"/>
    </font>
    <font>
      <name val="MS P ゴシック"/>
      <charset val="128"/>
      <family val="3"/>
      <color indexed="81"/>
      <sz val="9"/>
    </font>
    <font>
      <name val="游明朝"/>
      <charset val="128"/>
      <family val="1"/>
      <color theme="1"/>
      <sz val="18"/>
    </font>
    <font>
      <name val="游明朝"/>
      <charset val="128"/>
      <family val="1"/>
      <color theme="1"/>
      <sz val="9"/>
    </font>
    <font>
      <name val="游明朝"/>
      <charset val="128"/>
      <family val="1"/>
      <color theme="1"/>
      <sz val="12"/>
    </font>
    <font>
      <name val="游明朝"/>
      <charset val="128"/>
      <family val="1"/>
      <b val="1"/>
      <color theme="1"/>
      <sz val="9"/>
    </font>
    <font>
      <name val="游ゴシック"/>
      <charset val="128"/>
      <family val="3"/>
      <b val="1"/>
      <color theme="1"/>
      <sz val="9"/>
    </font>
    <font>
      <name val="游ゴシック"/>
      <charset val="128"/>
      <family val="3"/>
      <color theme="1"/>
      <sz val="9"/>
    </font>
    <font>
      <name val="Meiryo UI"/>
      <charset val="128"/>
      <family val="3"/>
      <color theme="1"/>
      <sz val="10"/>
    </font>
    <font>
      <name val="游明朝"/>
      <charset val="128"/>
      <family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vertical="center"/>
    </xf>
    <xf numFmtId="164" fontId="10" fillId="2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applyProtection="1" pivotButton="0" quotePrefix="0" xfId="0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0" fontId="10" fillId="0" borderId="1" applyAlignment="1" applyProtection="1" pivotButton="0" quotePrefix="1" xfId="0">
      <alignment vertical="center"/>
      <protection locked="0" hidden="0"/>
    </xf>
    <xf numFmtId="0" fontId="0" fillId="3" borderId="1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56" fontId="10" fillId="0" borderId="1" applyAlignment="1" applyProtection="1" pivotButton="0" quotePrefix="1" xfId="0">
      <alignment vertical="center"/>
      <protection locked="0" hidden="0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5" fontId="6" fillId="0" borderId="8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right" vertical="center"/>
    </xf>
    <xf numFmtId="0" fontId="11" fillId="0" borderId="8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11" fillId="0" borderId="7" applyAlignment="1" pivotButton="0" quotePrefix="0" xfId="0">
      <alignment horizontal="left" wrapText="1"/>
    </xf>
    <xf numFmtId="0" fontId="11" fillId="0" borderId="8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top" wrapText="1"/>
    </xf>
    <xf numFmtId="0" fontId="5" fillId="0" borderId="17" applyAlignment="1" pivotButton="0" quotePrefix="0" xfId="0">
      <alignment horizontal="left" vertical="top" wrapText="1"/>
    </xf>
    <xf numFmtId="0" fontId="11" fillId="0" borderId="9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10" applyAlignment="1" pivotButton="0" quotePrefix="0" xfId="0">
      <alignment horizontal="left"/>
    </xf>
    <xf numFmtId="0" fontId="11" fillId="0" borderId="3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166" fontId="11" fillId="0" borderId="0" applyAlignment="1" pivotButton="0" quotePrefix="0" xfId="0">
      <alignment horizontal="left"/>
    </xf>
    <xf numFmtId="166" fontId="11" fillId="0" borderId="7" applyAlignment="1" pivotButton="0" quotePrefix="0" xfId="0">
      <alignment horizontal="left"/>
    </xf>
    <xf numFmtId="0" fontId="10" fillId="0" borderId="1" applyAlignment="1" applyProtection="1" pivotButton="0" quotePrefix="0" xfId="0">
      <alignment horizontal="left" vertical="top" wrapText="1"/>
      <protection locked="0" hidden="0"/>
    </xf>
    <xf numFmtId="0" fontId="0" fillId="0" borderId="0" pivotButton="0" quotePrefix="0" xfId="0"/>
    <xf numFmtId="164" fontId="10" fillId="0" borderId="1" applyAlignment="1" applyProtection="1" pivotButton="0" quotePrefix="0" xfId="0">
      <alignment vertical="center"/>
      <protection locked="0" hidden="0"/>
    </xf>
    <xf numFmtId="164" fontId="10" fillId="2" borderId="1" applyAlignment="1" pivotButton="0" quotePrefix="0" xfId="0">
      <alignment vertical="center"/>
    </xf>
    <xf numFmtId="0" fontId="0" fillId="0" borderId="1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2" pivotButton="0" quotePrefix="0" xfId="0"/>
    <xf numFmtId="0" fontId="11" fillId="0" borderId="19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9" pivotButton="0" quotePrefix="0" xfId="0"/>
    <xf numFmtId="166" fontId="11" fillId="0" borderId="7" applyAlignment="1" pivotButton="0" quotePrefix="0" xfId="0">
      <alignment horizontal="left"/>
    </xf>
    <xf numFmtId="0" fontId="0" fillId="0" borderId="7" pivotButton="0" quotePrefix="0" xfId="0"/>
    <xf numFmtId="0" fontId="11" fillId="0" borderId="20" applyAlignment="1" pivotButton="0" quotePrefix="0" xfId="0">
      <alignment horizontal="center"/>
    </xf>
    <xf numFmtId="0" fontId="0" fillId="0" borderId="8" pivotButton="0" quotePrefix="0" xfId="0"/>
    <xf numFmtId="0" fontId="11" fillId="0" borderId="20" applyAlignment="1" pivotButton="0" quotePrefix="0" xfId="0">
      <alignment horizontal="left" wrapText="1"/>
    </xf>
    <xf numFmtId="0" fontId="11" fillId="0" borderId="20" applyAlignment="1" pivotButton="0" quotePrefix="0" xfId="0">
      <alignment horizontal="left"/>
    </xf>
    <xf numFmtId="0" fontId="6" fillId="0" borderId="21" applyAlignment="1" pivotButton="0" quotePrefix="0" xfId="0">
      <alignment horizontal="center"/>
    </xf>
    <xf numFmtId="165" fontId="6" fillId="0" borderId="21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7" pivotButton="0" quotePrefix="0" xfId="0"/>
    <xf numFmtId="164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作成者</author>
  </authors>
  <commentList>
    <comment ref="B2" authorId="0" shapeId="0">
      <text>
        <t>プルダウン選択</t>
      </text>
    </comment>
    <comment ref="B3" authorId="0" shapeId="0">
      <text>
        <t>都度記入</t>
      </text>
    </comment>
    <comment ref="B4" authorId="0" shapeId="0">
      <text>
        <t>プルダウン選択</t>
      </text>
    </comment>
    <comment ref="B10" authorId="0" shapeId="0">
      <text>
        <t>都度入力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54</col>
      <colOff>19050</colOff>
      <row>7</row>
      <rowOff>2</rowOff>
    </from>
    <to>
      <col>61</col>
      <colOff>22225</colOff>
      <row>14</row>
      <rowOff>9527</rowOff>
    </to>
    <pic>
      <nvPicPr>
        <cNvPr id="2" name="図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62550" y="666752"/>
          <a:ext cx="669925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130" zoomScaleNormal="130" workbookViewId="0">
      <selection activeCell="G5" sqref="G5"/>
    </sheetView>
  </sheetViews>
  <sheetFormatPr baseColWidth="8" defaultColWidth="2.375" defaultRowHeight="14.25" customHeight="1"/>
  <cols>
    <col width="8" bestFit="1" customWidth="1" style="4" min="1" max="1"/>
    <col width="40" bestFit="1" customWidth="1" style="4" min="2" max="2"/>
    <col width="2.375" customWidth="1" style="4" min="3" max="3"/>
    <col width="8.625" bestFit="1" customWidth="1" style="4" min="4" max="4"/>
    <col width="41.5" customWidth="1" style="4" min="5" max="5"/>
    <col width="6.5" bestFit="1" customWidth="1" style="4" min="6" max="6"/>
    <col width="14.625" customWidth="1" style="4" min="7" max="8"/>
    <col width="2.375" customWidth="1" style="4" min="9" max="9"/>
    <col width="68.5" customWidth="1" style="4" min="10" max="10"/>
    <col width="2.375" customWidth="1" style="4" min="11" max="16384"/>
  </cols>
  <sheetData>
    <row r="1" ht="14.25" customHeight="1" s="67">
      <c r="A1" s="11" t="n"/>
      <c r="B1" s="12" t="inlineStr">
        <is>
          <t>宛名</t>
        </is>
      </c>
      <c r="D1" s="12" t="inlineStr">
        <is>
          <t>No.</t>
        </is>
      </c>
      <c r="E1" s="12" t="inlineStr">
        <is>
          <t>摘要</t>
        </is>
      </c>
      <c r="F1" s="12" t="inlineStr">
        <is>
          <t>数量</t>
        </is>
      </c>
      <c r="G1" s="12" t="inlineStr">
        <is>
          <t>単価</t>
        </is>
      </c>
      <c r="H1" s="12" t="inlineStr">
        <is>
          <t>金額</t>
        </is>
      </c>
      <c r="J1" s="12" t="inlineStr">
        <is>
          <t>備考</t>
        </is>
      </c>
    </row>
    <row r="2" ht="14.25" customHeight="1" s="67">
      <c r="A2" s="8" t="inlineStr">
        <is>
          <t>前</t>
        </is>
      </c>
      <c r="B2" s="13" t="n"/>
      <c r="D2" s="9">
        <f>IF(E2="","",1)</f>
        <v/>
      </c>
      <c r="E2" s="13" t="n"/>
      <c r="F2" s="13" t="n"/>
      <c r="G2" s="68" t="n"/>
      <c r="H2" s="69">
        <f>IF(AND(F2&lt;&gt;"",G2&lt;&gt;""),F2*G2,"")</f>
        <v/>
      </c>
      <c r="J2" s="66" t="n"/>
    </row>
    <row r="3" ht="14.25" customHeight="1" s="67">
      <c r="A3" s="8" t="inlineStr">
        <is>
          <t>会社名</t>
        </is>
      </c>
      <c r="B3" s="13" t="n"/>
      <c r="D3" s="9">
        <f>IF(E3="","",IF(MAX($D$2:D2)="","",MAX($D$2:D2)+1))</f>
        <v/>
      </c>
      <c r="E3" s="13" t="n"/>
      <c r="F3" s="13" t="n"/>
      <c r="G3" s="68" t="n"/>
      <c r="H3" s="69">
        <f>IF(AND(F3&lt;&gt;"",G3&lt;&gt;""),F3*G3,"")</f>
        <v/>
      </c>
      <c r="J3" s="70" t="n"/>
    </row>
    <row r="4" ht="14.25" customHeight="1" s="67">
      <c r="A4" s="8" t="inlineStr">
        <is>
          <t>後</t>
        </is>
      </c>
      <c r="B4" s="13" t="inlineStr">
        <is>
          <t>御中</t>
        </is>
      </c>
      <c r="D4" s="9">
        <f>IF(E4="","",IF(MAX($D$2:D3)="","",MAX($D$2:D3)+1))</f>
        <v/>
      </c>
      <c r="E4" s="13" t="n"/>
      <c r="F4" s="13" t="n"/>
      <c r="G4" s="68" t="n"/>
      <c r="H4" s="69">
        <f>IF(AND(F4&lt;&gt;"",G4&lt;&gt;""),F4*G4,"")</f>
        <v/>
      </c>
      <c r="J4" s="70" t="n"/>
    </row>
    <row r="5" ht="14.25" customHeight="1" s="67">
      <c r="D5" s="9">
        <f>IF(E5="","",IF(MAX($D$2:D4)="","",MAX($D$2:D4)+1))</f>
        <v/>
      </c>
      <c r="E5" s="13" t="n"/>
      <c r="F5" s="13" t="n"/>
      <c r="G5" s="68" t="n"/>
      <c r="H5" s="69">
        <f>IF(AND(F5&lt;&gt;"",G5&lt;&gt;""),F5*G5,"")</f>
        <v/>
      </c>
      <c r="J5" s="70" t="n"/>
    </row>
    <row r="6" ht="14.25" customHeight="1" s="67">
      <c r="A6" s="11" t="n"/>
      <c r="B6" s="12" t="inlineStr">
        <is>
          <t>年月日</t>
        </is>
      </c>
      <c r="D6" s="9">
        <f>IF(E6="","",IF(MAX($D$2:D5)="","",MAX($D$2:D5)+1))</f>
        <v/>
      </c>
      <c r="E6" s="13" t="n"/>
      <c r="F6" s="13" t="n"/>
      <c r="G6" s="68" t="n"/>
      <c r="H6" s="69">
        <f>IF(AND(F6&lt;&gt;"",G6&lt;&gt;""),F6*G6,"")</f>
        <v/>
      </c>
      <c r="J6" s="70" t="n"/>
    </row>
    <row r="7" ht="14.25" customHeight="1" s="67">
      <c r="A7" s="8" t="inlineStr">
        <is>
          <t>年</t>
        </is>
      </c>
      <c r="B7" s="13" t="n">
        <v>2026</v>
      </c>
      <c r="D7" s="9">
        <f>IF(E7="","",IF(MAX($D$2:D6)="","",MAX($D$2:D6)+1))</f>
        <v/>
      </c>
      <c r="E7" s="13" t="n"/>
      <c r="F7" s="13" t="n"/>
      <c r="G7" s="68" t="n"/>
      <c r="H7" s="69">
        <f>IF(AND(F7&lt;&gt;"",G7&lt;&gt;""),F7*G7,"")</f>
        <v/>
      </c>
      <c r="J7" s="70" t="n"/>
    </row>
    <row r="8" ht="14.25" customHeight="1" s="67">
      <c r="A8" s="8" t="inlineStr">
        <is>
          <t>月</t>
        </is>
      </c>
      <c r="B8" s="13" t="n">
        <v>4</v>
      </c>
      <c r="D8" s="9">
        <f>IF(E8="","",IF(MAX($D$2:D7)="","",MAX($D$2:D7)+1))</f>
        <v/>
      </c>
      <c r="E8" s="13" t="n"/>
      <c r="F8" s="13" t="n"/>
      <c r="G8" s="68" t="n"/>
      <c r="H8" s="69">
        <f>IF(AND(F8&lt;&gt;"",G8&lt;&gt;""),F8*G8,"")</f>
        <v/>
      </c>
      <c r="J8" s="70" t="n"/>
    </row>
    <row r="9" ht="14.25" customHeight="1" s="67">
      <c r="A9" s="8" t="inlineStr">
        <is>
          <t>日</t>
        </is>
      </c>
      <c r="B9" s="13" t="n">
        <v>1</v>
      </c>
      <c r="D9" s="9">
        <f>IF(E9="","",IF(MAX($D$2:D8)="","",MAX($D$2:D8)+1))</f>
        <v/>
      </c>
      <c r="E9" s="13" t="n"/>
      <c r="F9" s="13" t="n"/>
      <c r="G9" s="68" t="n"/>
      <c r="H9" s="69">
        <f>IF(AND(F9&lt;&gt;"",G9&lt;&gt;""),F9*G9,"")</f>
        <v/>
      </c>
      <c r="J9" s="71" t="n"/>
    </row>
    <row r="10" ht="14.25" customHeight="1" s="67">
      <c r="A10" s="8" t="inlineStr">
        <is>
          <t>通番号</t>
        </is>
      </c>
      <c r="B10" s="13" t="n">
        <v>1</v>
      </c>
      <c r="D10" s="9">
        <f>IF(E10="","",IF(MAX($D$2:D9)="","",MAX($D$2:D9)+1))</f>
        <v/>
      </c>
      <c r="E10" s="13" t="n"/>
      <c r="F10" s="13" t="n"/>
      <c r="G10" s="68" t="n"/>
      <c r="H10" s="69">
        <f>IF(AND(F10&lt;&gt;"",G10&lt;&gt;""),F10*G10,"")</f>
        <v/>
      </c>
    </row>
    <row r="11" ht="14.25" customHeight="1" s="67">
      <c r="D11" s="9">
        <f>IF(E11="","",IF(MAX($D$2:D10)="","",MAX($D$2:D10)+1))</f>
        <v/>
      </c>
      <c r="E11" s="13" t="n"/>
      <c r="F11" s="13" t="n"/>
      <c r="G11" s="68" t="n"/>
      <c r="H11" s="69">
        <f>IF(AND(F11&lt;&gt;"",G11&lt;&gt;""),F11*G11,"")</f>
        <v/>
      </c>
    </row>
    <row r="12" ht="14.25" customHeight="1" s="67">
      <c r="A12" s="11" t="n"/>
      <c r="B12" s="12" t="inlineStr">
        <is>
          <t>条件</t>
        </is>
      </c>
      <c r="D12" s="9">
        <f>IF(E12="","",IF(MAX($D$2:D11)="","",MAX($D$2:D11)+1))</f>
        <v/>
      </c>
      <c r="E12" s="13" t="n"/>
      <c r="F12" s="13" t="n"/>
      <c r="G12" s="68" t="n"/>
      <c r="H12" s="69">
        <f>IF(AND(F12&lt;&gt;"",G12&lt;&gt;""),F12*G12,"")</f>
        <v/>
      </c>
    </row>
    <row r="13" ht="14.25" customHeight="1" s="67">
      <c r="A13" s="8" t="inlineStr">
        <is>
          <t>件名</t>
        </is>
      </c>
      <c r="B13" s="13" t="n"/>
      <c r="D13" s="9">
        <f>IF(E13="","",IF(MAX($D$2:D12)="","",MAX($D$2:D12)+1))</f>
        <v/>
      </c>
      <c r="E13" s="13" t="n"/>
      <c r="F13" s="13" t="n"/>
      <c r="G13" s="68" t="n"/>
      <c r="H13" s="69">
        <f>IF(AND(F13&lt;&gt;"",G13&lt;&gt;""),F13*G13,"")</f>
        <v/>
      </c>
    </row>
    <row r="14" ht="14.25" customHeight="1" s="67">
      <c r="A14" s="8" t="inlineStr">
        <is>
          <t>納期</t>
        </is>
      </c>
      <c r="B14" s="25" t="n"/>
      <c r="D14" s="9">
        <f>IF(E14="","",IF(MAX($D$2:D13)="","",MAX($D$2:D13)+1))</f>
        <v/>
      </c>
      <c r="E14" s="13" t="n"/>
      <c r="F14" s="13" t="n"/>
      <c r="G14" s="68" t="n"/>
      <c r="H14" s="69">
        <f>IF(AND(F14&lt;&gt;"",G14&lt;&gt;""),F14*G14,"")</f>
        <v/>
      </c>
    </row>
    <row r="15" ht="14.25" customHeight="1" s="67">
      <c r="A15" s="9" t="inlineStr">
        <is>
          <t>納品場所</t>
        </is>
      </c>
      <c r="B15" s="13" t="inlineStr">
        <is>
          <t>〒802-0001 北九州市小倉北区浅野二丁目14番3号
あるあるcity2号館小倉B1F</t>
        </is>
      </c>
      <c r="D15" s="9">
        <f>IF(E15="","",IF(MAX($D$2:D14)="","",MAX($D$2:D14)+1))</f>
        <v/>
      </c>
      <c r="E15" s="13" t="n"/>
      <c r="F15" s="13" t="n"/>
      <c r="G15" s="68" t="n"/>
      <c r="H15" s="69">
        <f>IF(AND(F15&lt;&gt;"",G15&lt;&gt;""),F15*G15,"")</f>
        <v/>
      </c>
    </row>
    <row r="16" ht="14.25" customHeight="1" s="67">
      <c r="A16" s="9" t="inlineStr">
        <is>
          <t>支払条件</t>
        </is>
      </c>
      <c r="B16" s="13" t="inlineStr">
        <is>
          <t>月末締翌月末支払</t>
        </is>
      </c>
      <c r="D16" s="9">
        <f>IF(E16="","",IF(MAX($D$2:D15)="","",MAX($D$2:D15)+1))</f>
        <v/>
      </c>
      <c r="E16" s="13" t="n"/>
      <c r="F16" s="13" t="n"/>
      <c r="G16" s="68" t="n"/>
      <c r="H16" s="69">
        <f>IF(AND(F16&lt;&gt;"",G16&lt;&gt;""),F16*G16,"")</f>
        <v/>
      </c>
    </row>
    <row r="17" ht="14.25" customHeight="1" s="67">
      <c r="A17" s="9" t="inlineStr">
        <is>
          <t>見積No.</t>
        </is>
      </c>
      <c r="B17" s="15" t="n"/>
      <c r="D17" s="9">
        <f>IF(E17="","",IF(MAX($D$2:D16)="","",MAX($D$2:D16)+1))</f>
        <v/>
      </c>
      <c r="E17" s="13" t="n"/>
      <c r="F17" s="13" t="n"/>
      <c r="G17" s="68" t="n"/>
      <c r="H17" s="69">
        <f>IF(AND(F17&lt;&gt;"",G17&lt;&gt;""),F17*G17,"")</f>
        <v/>
      </c>
    </row>
    <row r="18" ht="14.25" customHeight="1" s="67">
      <c r="D18" s="9">
        <f>IF(E18="","",IF(MAX($D$2:D17)="","",MAX($D$2:D17)+1))</f>
        <v/>
      </c>
      <c r="E18" s="13" t="n"/>
      <c r="F18" s="13" t="n"/>
      <c r="G18" s="68" t="n"/>
      <c r="H18" s="69">
        <f>IF(AND(F18&lt;&gt;"",G18&lt;&gt;""),F18*G18,"")</f>
        <v/>
      </c>
    </row>
    <row r="19" ht="14.25" customHeight="1" s="67">
      <c r="D19" s="9">
        <f>IF(E19="","",IF(MAX($D$2:D18)="","",MAX($D$2:D18)+1))</f>
        <v/>
      </c>
      <c r="E19" s="13" t="n"/>
      <c r="F19" s="13" t="n"/>
      <c r="G19" s="68" t="n"/>
      <c r="H19" s="69">
        <f>IF(AND(F19&lt;&gt;"",G19&lt;&gt;""),F19*G19,"")</f>
        <v/>
      </c>
    </row>
    <row r="20" ht="14.25" customHeight="1" s="67">
      <c r="D20" s="9">
        <f>IF(E20="","",IF(MAX($D$2:D19)="","",MAX($D$2:D19)+1))</f>
        <v/>
      </c>
      <c r="E20" s="13" t="n"/>
      <c r="F20" s="13" t="n"/>
      <c r="G20" s="68" t="n"/>
      <c r="H20" s="69">
        <f>IF(AND(F20&lt;&gt;"",G20&lt;&gt;""),F20*G20,"")</f>
        <v/>
      </c>
    </row>
    <row r="21" ht="14.25" customHeight="1" s="67">
      <c r="D21" s="9">
        <f>IF(E21="","",IF(MAX($D$2:D20)="","",MAX($D$2:D20)+1))</f>
        <v/>
      </c>
      <c r="E21" s="13" t="n"/>
      <c r="F21" s="13" t="n"/>
      <c r="G21" s="68" t="n"/>
      <c r="H21" s="69">
        <f>IF(AND(F21&lt;&gt;"",G21&lt;&gt;""),F21*G21,"")</f>
        <v/>
      </c>
    </row>
    <row r="22" ht="14.25" customHeight="1" s="67">
      <c r="D22" s="9">
        <f>IF(E22="","",IF(MAX($D$2:D21)="","",MAX($D$2:D21)+1))</f>
        <v/>
      </c>
      <c r="E22" s="13" t="n"/>
      <c r="F22" s="13" t="n"/>
      <c r="G22" s="68" t="n"/>
      <c r="H22" s="69">
        <f>IF(AND(F22&lt;&gt;"",G22&lt;&gt;""),F22*G22,"")</f>
        <v/>
      </c>
    </row>
    <row r="23" ht="14.25" customHeight="1" s="67">
      <c r="D23" s="9">
        <f>IF(E23="","",IF(MAX($D$2:D22)="","",MAX($D$2:D22)+1))</f>
        <v/>
      </c>
      <c r="E23" s="13" t="n"/>
      <c r="F23" s="13" t="n"/>
      <c r="G23" s="68" t="n"/>
      <c r="H23" s="69">
        <f>IF(AND(F23&lt;&gt;"",G23&lt;&gt;""),F23*G23,"")</f>
        <v/>
      </c>
    </row>
    <row r="24" ht="14.25" customHeight="1" s="67">
      <c r="D24" s="9">
        <f>IF(E24="","",IF(MAX($D$2:D23)="","",MAX($D$2:D23)+1))</f>
        <v/>
      </c>
      <c r="E24" s="13" t="n"/>
      <c r="F24" s="13" t="n"/>
      <c r="G24" s="68" t="n"/>
      <c r="H24" s="69">
        <f>IF(AND(F24&lt;&gt;"",G24&lt;&gt;""),F24*G24,"")</f>
        <v/>
      </c>
    </row>
    <row r="25" ht="14.25" customHeight="1" s="67">
      <c r="D25" s="9">
        <f>IF(E25="","",IF(MAX($D$2:D24)="","",MAX($D$2:D24)+1))</f>
        <v/>
      </c>
      <c r="E25" s="13" t="n"/>
      <c r="F25" s="13" t="n"/>
      <c r="G25" s="68" t="n"/>
      <c r="H25" s="69">
        <f>IF(AND(F25&lt;&gt;"",G25&lt;&gt;""),F25*G25,"")</f>
        <v/>
      </c>
    </row>
    <row r="26" ht="14.25" customHeight="1" s="67">
      <c r="D26" s="9">
        <f>IF(E26="","",IF(MAX($D$2:D25)="","",MAX($D$2:D25)+1))</f>
        <v/>
      </c>
      <c r="E26" s="13" t="n"/>
      <c r="F26" s="13" t="n"/>
      <c r="G26" s="68" t="n"/>
      <c r="H26" s="69">
        <f>IF(AND(F26&lt;&gt;"",G26&lt;&gt;""),F26*G26,"")</f>
        <v/>
      </c>
    </row>
    <row r="27" ht="14.25" customHeight="1" s="67">
      <c r="H27" s="69">
        <f>IF(SUM(H2:H26)=0,"",SUM(H2:H26))</f>
        <v/>
      </c>
    </row>
    <row r="28" ht="14.25" customHeight="1" s="67">
      <c r="H28" s="69">
        <f>IFERROR(H29-H27,"")</f>
        <v/>
      </c>
    </row>
    <row r="29" ht="14.25" customHeight="1" s="67">
      <c r="H29" s="69">
        <f>IFERROR(ROUNDDOWN(H27*1.1,0),"")</f>
        <v/>
      </c>
    </row>
  </sheetData>
  <mergeCells count="1">
    <mergeCell ref="J2:J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98"/>
  <sheetViews>
    <sheetView tabSelected="1" view="pageBreakPreview" topLeftCell="A10" zoomScale="130" zoomScaleNormal="100" zoomScaleSheetLayoutView="130" workbookViewId="0">
      <selection activeCell="A10" sqref="A10:AH11"/>
    </sheetView>
  </sheetViews>
  <sheetFormatPr baseColWidth="8" defaultColWidth="1.25" defaultRowHeight="7.5" customHeight="1"/>
  <cols>
    <col width="1.25" customWidth="1" style="2" min="1" max="16384"/>
  </cols>
  <sheetData>
    <row r="1" ht="7.5" customHeight="1" s="67">
      <c r="Z1" s="32" t="inlineStr">
        <is>
          <t>発  注  書</t>
        </is>
      </c>
      <c r="AM1" s="31">
        <f>CONCATENATE("発注No. ",TEXT(発注書中身!B7,"0000"),TEXT(発注書中身!B8,"00"),TEXT(発注書中身!B9,"00"),"-",TEXT(発注書中身!B10,"00"))</f>
        <v/>
      </c>
    </row>
    <row r="2" ht="7.5" customHeight="1" s="67"/>
    <row r="3" ht="7.5" customHeight="1" s="67">
      <c r="AM3" s="31">
        <f>CONCATENATE(TEXT(発注書中身!B7,"0000"),"年",TEXT(発注書中身!B8,"00"),"月",TEXT(発注書中身!B9,"00"),"日")</f>
        <v/>
      </c>
    </row>
    <row r="4" ht="7.5" customHeight="1" s="67"/>
    <row r="5" ht="7.5" customHeight="1" s="67">
      <c r="A5" s="63">
        <f>CONCATENATE(発注書中身!B2," ",発注書中身!B3," ",発注書中身!B4," 御中")</f>
        <v/>
      </c>
      <c r="AI5" s="21" t="n"/>
      <c r="AJ5" s="21" t="n"/>
      <c r="AK5" s="21" t="n"/>
      <c r="AL5" s="21" t="n"/>
      <c r="AM5" s="21" t="n"/>
      <c r="AN5" s="21" t="n"/>
      <c r="AO5" s="21" t="n"/>
    </row>
    <row r="6" ht="7.5" customHeight="1" s="67">
      <c r="AI6" s="21" t="n"/>
      <c r="AJ6" s="21" t="n"/>
      <c r="AK6" s="21" t="n"/>
      <c r="AL6" s="21" t="n"/>
      <c r="AM6" s="21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23" t="n"/>
    </row>
    <row r="7" ht="7.5" customHeight="1" s="67" thickBot="1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21" t="n"/>
      <c r="AJ7" s="21" t="n"/>
      <c r="AK7" s="21" t="n"/>
      <c r="AL7" s="21" t="n"/>
      <c r="AM7" s="21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  <c r="BK7" s="23" t="n"/>
    </row>
    <row r="8" ht="7.5" customHeight="1" s="67">
      <c r="A8" s="73">
        <f>CONCATENATE("件名 : ",発注書中身!B13)</f>
        <v/>
      </c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22" t="n"/>
      <c r="AJ8" s="22" t="n"/>
      <c r="AK8" s="22" t="n"/>
      <c r="AL8" s="22" t="n"/>
      <c r="AM8" s="22" t="n"/>
      <c r="AN8" s="30" t="inlineStr">
        <is>
          <t>請求先</t>
        </is>
      </c>
    </row>
    <row r="9" ht="7.5" customHeight="1" s="67" thickBot="1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22" t="n"/>
      <c r="AJ9" s="22" t="n"/>
      <c r="AK9" s="22" t="n"/>
      <c r="AL9" s="22" t="n"/>
      <c r="AM9" s="22" t="n"/>
    </row>
    <row r="10" ht="7.5" customHeight="1" s="67" thickTop="1">
      <c r="A10" s="58" t="inlineStr">
        <is>
          <t>下記の通り発注致します</t>
        </is>
      </c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  <c r="AH10" s="76" t="n"/>
      <c r="AI10" s="22" t="n"/>
      <c r="AJ10" s="22" t="n"/>
      <c r="AK10" s="22" t="n"/>
      <c r="AL10" s="22" t="n"/>
      <c r="AM10" s="22" t="n"/>
      <c r="AN10" s="22" t="n"/>
      <c r="AO10" s="22" t="n"/>
      <c r="AP10" s="3" t="n"/>
      <c r="AQ10" s="3" t="n"/>
      <c r="BJ10" s="19" t="n"/>
      <c r="BK10" s="19" t="n"/>
    </row>
    <row r="11" ht="7.5" customHeight="1" s="67">
      <c r="AI11" s="22" t="n"/>
      <c r="AJ11" s="22" t="n"/>
      <c r="AK11" s="22" t="n"/>
      <c r="AL11" s="22" t="n"/>
      <c r="AM11" s="22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  <c r="BK11" s="23" t="n"/>
    </row>
    <row r="12" ht="7.5" customHeight="1" s="67">
      <c r="A12" s="47" t="inlineStr">
        <is>
          <t>納           期</t>
        </is>
      </c>
      <c r="G12" s="47" t="n"/>
      <c r="H12" s="77">
        <f>IF(発注書中身!B14="","",発注書中身!B14)</f>
        <v/>
      </c>
      <c r="AI12" s="22" t="n"/>
      <c r="AJ12" s="22" t="n"/>
      <c r="AK12" s="22" t="n"/>
      <c r="AL12" s="22" t="n"/>
      <c r="AM12" s="22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  <c r="BK12" s="23" t="n"/>
    </row>
    <row r="13" ht="7.5" customHeight="1" s="67">
      <c r="A13" s="78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78" t="n"/>
      <c r="K13" s="78" t="n"/>
      <c r="L13" s="78" t="n"/>
      <c r="M13" s="78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22" t="n"/>
      <c r="AJ13" s="22" t="n"/>
      <c r="AK13" s="22" t="n"/>
      <c r="AL13" s="22" t="n"/>
      <c r="AM13" s="22" t="n"/>
      <c r="AN13" s="30" t="inlineStr">
        <is>
          <t>〒802-0001</t>
        </is>
      </c>
    </row>
    <row r="14" ht="7.5" customHeight="1" s="67">
      <c r="A14" s="79" t="inlineStr">
        <is>
          <t>納 品 場 所</t>
        </is>
      </c>
      <c r="B14" s="80" t="n"/>
      <c r="C14" s="80" t="n"/>
      <c r="D14" s="80" t="n"/>
      <c r="E14" s="80" t="n"/>
      <c r="F14" s="80" t="n"/>
      <c r="G14" s="79" t="n"/>
      <c r="H14" s="81">
        <f>IF(発注書中身!B15="","",発注書中身!B15)</f>
        <v/>
      </c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22" t="n"/>
      <c r="AJ14" s="22" t="n"/>
      <c r="AK14" s="22" t="n"/>
      <c r="AL14" s="22" t="n"/>
      <c r="AM14" s="22" t="n"/>
    </row>
    <row r="15" ht="7.5" customHeight="1" s="67">
      <c r="AI15" s="22" t="n"/>
      <c r="AJ15" s="22" t="n"/>
      <c r="AK15" s="22" t="n"/>
      <c r="AL15" s="22" t="n"/>
      <c r="AM15" s="22" t="n"/>
      <c r="AN15" s="30" t="inlineStr">
        <is>
          <t xml:space="preserve">北九州市小倉北区浅野一丁目1番1号 </t>
        </is>
      </c>
    </row>
    <row r="16" ht="7.5" customHeight="1" s="67">
      <c r="AI16" s="22" t="n"/>
      <c r="AJ16" s="22" t="n"/>
      <c r="AK16" s="22" t="n"/>
      <c r="AL16" s="22" t="n"/>
      <c r="AM16" s="22" t="n"/>
    </row>
    <row r="17" ht="7.5" customHeight="1" s="67">
      <c r="A17" s="78" t="n"/>
      <c r="B17" s="78" t="n"/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22" t="n"/>
      <c r="AJ17" s="22" t="n"/>
      <c r="AK17" s="22" t="n"/>
      <c r="AL17" s="22" t="n"/>
      <c r="AM17" s="22" t="n"/>
      <c r="AN17" s="30" t="inlineStr">
        <is>
          <t>ビエラ小倉1F DISCOVERYcoworking-103</t>
        </is>
      </c>
    </row>
    <row r="18" ht="7.5" customHeight="1" s="67">
      <c r="A18" s="79" t="inlineStr">
        <is>
          <t>支 払 条 件</t>
        </is>
      </c>
      <c r="B18" s="80" t="n"/>
      <c r="C18" s="80" t="n"/>
      <c r="D18" s="80" t="n"/>
      <c r="E18" s="80" t="n"/>
      <c r="F18" s="80" t="n"/>
      <c r="G18" s="79" t="n"/>
      <c r="H18" s="82">
        <f>IF(発注書中身!B16="","",発注書中身!B16)</f>
        <v/>
      </c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  <c r="AA18" s="80" t="n"/>
      <c r="AB18" s="80" t="n"/>
      <c r="AC18" s="80" t="n"/>
      <c r="AD18" s="80" t="n"/>
      <c r="AE18" s="80" t="n"/>
      <c r="AF18" s="80" t="n"/>
      <c r="AG18" s="80" t="n"/>
      <c r="AH18" s="80" t="n"/>
      <c r="AI18" s="22" t="n"/>
      <c r="AJ18" s="22" t="n"/>
      <c r="AK18" s="22" t="n"/>
      <c r="AL18" s="22" t="n"/>
      <c r="AM18" s="22" t="n"/>
    </row>
    <row r="19" ht="7.5" customHeight="1" s="67">
      <c r="A19" s="78" t="n"/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22" t="n"/>
      <c r="AJ19" s="22" t="n"/>
      <c r="AK19" s="22" t="n"/>
      <c r="AL19" s="22" t="n"/>
      <c r="AM19" s="22" t="n"/>
      <c r="AN19" s="41" t="inlineStr">
        <is>
          <t xml:space="preserve">Tel : </t>
        </is>
      </c>
      <c r="AR19" s="30" t="inlineStr">
        <is>
          <t>093-482-4622</t>
        </is>
      </c>
    </row>
    <row r="20" ht="7.5" customHeight="1" s="67">
      <c r="A20" s="79" t="inlineStr">
        <is>
          <t>見  積  No.</t>
        </is>
      </c>
      <c r="B20" s="80" t="n"/>
      <c r="C20" s="80" t="n"/>
      <c r="D20" s="80" t="n"/>
      <c r="E20" s="80" t="n"/>
      <c r="F20" s="80" t="n"/>
      <c r="G20" s="79" t="n"/>
      <c r="H20" s="82">
        <f>IF(発注書中身!B17="","",発注書中身!B17)</f>
        <v/>
      </c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  <c r="AA20" s="80" t="n"/>
      <c r="AB20" s="80" t="n"/>
      <c r="AC20" s="80" t="n"/>
      <c r="AD20" s="80" t="n"/>
      <c r="AE20" s="80" t="n"/>
      <c r="AF20" s="80" t="n"/>
      <c r="AG20" s="80" t="n"/>
      <c r="AH20" s="80" t="n"/>
      <c r="AI20" s="22" t="n"/>
      <c r="AJ20" s="22" t="n"/>
      <c r="AK20" s="22" t="n"/>
      <c r="AL20" s="22" t="n"/>
      <c r="AM20" s="22" t="n"/>
    </row>
    <row r="21" ht="7.5" customHeight="1" s="67">
      <c r="A21" s="78" t="n"/>
      <c r="B21" s="78" t="n"/>
      <c r="C21" s="78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22" t="n"/>
      <c r="AJ21" s="22" t="n"/>
      <c r="AK21" s="22" t="n"/>
      <c r="AL21" s="22" t="n"/>
      <c r="AM21" s="22" t="n"/>
      <c r="AN21" s="41" t="inlineStr">
        <is>
          <t xml:space="preserve">Fax : </t>
        </is>
      </c>
      <c r="AR21" s="30" t="inlineStr">
        <is>
          <t>093-482-4623</t>
        </is>
      </c>
    </row>
    <row r="22" ht="7.5" customHeight="1" s="67">
      <c r="A22" s="83" t="inlineStr">
        <is>
          <t>合 計 金 額</t>
        </is>
      </c>
      <c r="B22" s="80" t="n"/>
      <c r="C22" s="80" t="n"/>
      <c r="D22" s="80" t="n"/>
      <c r="E22" s="80" t="n"/>
      <c r="F22" s="80" t="n"/>
      <c r="G22" s="80" t="n"/>
      <c r="H22" s="80" t="n"/>
      <c r="I22" s="80" t="n"/>
      <c r="J22" s="83" t="n"/>
      <c r="K22" s="84">
        <f>AZ80</f>
        <v/>
      </c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  <c r="AA22" s="80" t="n"/>
      <c r="AB22" s="80" t="n"/>
      <c r="AC22" s="80" t="n"/>
      <c r="AD22" s="83" t="inlineStr">
        <is>
          <t>(税込)</t>
        </is>
      </c>
      <c r="AE22" s="80" t="n"/>
      <c r="AF22" s="80" t="n"/>
      <c r="AG22" s="80" t="n"/>
      <c r="AH22" s="80" t="n"/>
      <c r="AJ22" s="21" t="n"/>
      <c r="AK22" s="21" t="n"/>
      <c r="AL22" s="21" t="n"/>
      <c r="AM22" s="21" t="n"/>
    </row>
    <row r="23" ht="7.5" customHeight="1" s="67">
      <c r="AI23" s="21" t="n"/>
      <c r="AJ23" s="21" t="n"/>
      <c r="AK23" s="21" t="n"/>
      <c r="AL23" s="21" t="n"/>
      <c r="AM23" s="21" t="n"/>
      <c r="AN23" s="41" t="inlineStr">
        <is>
          <t xml:space="preserve">Mail : </t>
        </is>
      </c>
      <c r="AR23" s="30" t="inlineStr">
        <is>
          <t>office@kiq-robotics.co.jp</t>
        </is>
      </c>
    </row>
    <row r="24" ht="7.5" customHeight="1" s="67" thickBot="1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21" t="n"/>
      <c r="AJ24" s="21" t="n"/>
      <c r="AK24" s="21" t="n"/>
      <c r="AL24" s="21" t="n"/>
      <c r="AM24" s="21" t="n"/>
      <c r="BR24" s="18" t="n"/>
    </row>
    <row r="26" ht="7.5" customHeight="1" s="67">
      <c r="A26" s="29" t="inlineStr">
        <is>
          <t>No.</t>
        </is>
      </c>
      <c r="B26" s="85" t="n"/>
      <c r="C26" s="86" t="n"/>
      <c r="D26" s="29" t="inlineStr">
        <is>
          <t>摘要</t>
        </is>
      </c>
      <c r="E26" s="85" t="n"/>
      <c r="F26" s="85" t="n"/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  <c r="AA26" s="85" t="n"/>
      <c r="AB26" s="85" t="n"/>
      <c r="AC26" s="85" t="n"/>
      <c r="AD26" s="85" t="n"/>
      <c r="AE26" s="85" t="n"/>
      <c r="AF26" s="85" t="n"/>
      <c r="AG26" s="86" t="n"/>
      <c r="AH26" s="29" t="inlineStr">
        <is>
          <t>数量</t>
        </is>
      </c>
      <c r="AI26" s="85" t="n"/>
      <c r="AJ26" s="85" t="n"/>
      <c r="AK26" s="85" t="n"/>
      <c r="AL26" s="85" t="n"/>
      <c r="AM26" s="86" t="n"/>
      <c r="AN26" s="29" t="inlineStr">
        <is>
          <t>単価</t>
        </is>
      </c>
      <c r="AO26" s="85" t="n"/>
      <c r="AP26" s="85" t="n"/>
      <c r="AQ26" s="85" t="n"/>
      <c r="AR26" s="85" t="n"/>
      <c r="AS26" s="85" t="n"/>
      <c r="AT26" s="85" t="n"/>
      <c r="AU26" s="85" t="n"/>
      <c r="AV26" s="85" t="n"/>
      <c r="AW26" s="85" t="n"/>
      <c r="AX26" s="85" t="n"/>
      <c r="AY26" s="86" t="n"/>
      <c r="AZ26" s="29" t="inlineStr">
        <is>
          <t>金額</t>
        </is>
      </c>
      <c r="BA26" s="85" t="n"/>
      <c r="BB26" s="85" t="n"/>
      <c r="BC26" s="85" t="n"/>
      <c r="BD26" s="85" t="n"/>
      <c r="BE26" s="85" t="n"/>
      <c r="BF26" s="85" t="n"/>
      <c r="BG26" s="85" t="n"/>
      <c r="BH26" s="85" t="n"/>
      <c r="BI26" s="85" t="n"/>
      <c r="BJ26" s="85" t="n"/>
      <c r="BK26" s="86" t="n"/>
    </row>
    <row r="27" ht="7.5" customHeight="1" s="67">
      <c r="A27" s="87" t="n"/>
      <c r="B27" s="88" t="n"/>
      <c r="C27" s="89" t="n"/>
      <c r="D27" s="87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8" t="n"/>
      <c r="AB27" s="88" t="n"/>
      <c r="AC27" s="88" t="n"/>
      <c r="AD27" s="88" t="n"/>
      <c r="AE27" s="88" t="n"/>
      <c r="AF27" s="88" t="n"/>
      <c r="AG27" s="89" t="n"/>
      <c r="AH27" s="87" t="n"/>
      <c r="AI27" s="88" t="n"/>
      <c r="AJ27" s="88" t="n"/>
      <c r="AK27" s="88" t="n"/>
      <c r="AL27" s="88" t="n"/>
      <c r="AM27" s="89" t="n"/>
      <c r="AN27" s="87" t="n"/>
      <c r="AO27" s="88" t="n"/>
      <c r="AP27" s="88" t="n"/>
      <c r="AQ27" s="88" t="n"/>
      <c r="AR27" s="88" t="n"/>
      <c r="AS27" s="88" t="n"/>
      <c r="AT27" s="88" t="n"/>
      <c r="AU27" s="88" t="n"/>
      <c r="AV27" s="88" t="n"/>
      <c r="AW27" s="88" t="n"/>
      <c r="AX27" s="88" t="n"/>
      <c r="AY27" s="89" t="n"/>
      <c r="AZ27" s="87" t="n"/>
      <c r="BA27" s="88" t="n"/>
      <c r="BB27" s="88" t="n"/>
      <c r="BC27" s="88" t="n"/>
      <c r="BD27" s="88" t="n"/>
      <c r="BE27" s="88" t="n"/>
      <c r="BF27" s="88" t="n"/>
      <c r="BG27" s="88" t="n"/>
      <c r="BH27" s="88" t="n"/>
      <c r="BI27" s="88" t="n"/>
      <c r="BJ27" s="88" t="n"/>
      <c r="BK27" s="89" t="n"/>
    </row>
    <row r="28" ht="7.5" customHeight="1" s="67">
      <c r="A28" s="26">
        <f>IF(D28="","",1)</f>
        <v/>
      </c>
      <c r="B28" s="85" t="n"/>
      <c r="C28" s="86" t="n"/>
      <c r="D28" s="27">
        <f>IF(発注書中身!E2="","",発注書中身!E2)</f>
        <v/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6" t="n"/>
      <c r="AH28" s="26">
        <f>IF(発注書中身!F2="","",発注書中身!F2)</f>
        <v/>
      </c>
      <c r="AI28" s="85" t="n"/>
      <c r="AJ28" s="85" t="n"/>
      <c r="AK28" s="85" t="n"/>
      <c r="AL28" s="85" t="n"/>
      <c r="AM28" s="86" t="n"/>
      <c r="AN28" s="90">
        <f>IF(発注書中身!G2="","",発注書中身!G2)</f>
        <v/>
      </c>
      <c r="AO28" s="85" t="n"/>
      <c r="AP28" s="85" t="n"/>
      <c r="AQ28" s="85" t="n"/>
      <c r="AR28" s="85" t="n"/>
      <c r="AS28" s="85" t="n"/>
      <c r="AT28" s="85" t="n"/>
      <c r="AU28" s="85" t="n"/>
      <c r="AV28" s="85" t="n"/>
      <c r="AW28" s="85" t="n"/>
      <c r="AX28" s="85" t="n"/>
      <c r="AY28" s="86" t="n"/>
      <c r="AZ28" s="90">
        <f>IF(AND(AH28&lt;&gt;"",AN28&lt;&gt;""),AH28*AN28,"")</f>
        <v/>
      </c>
      <c r="BA28" s="85" t="n"/>
      <c r="BB28" s="85" t="n"/>
      <c r="BC28" s="85" t="n"/>
      <c r="BD28" s="85" t="n"/>
      <c r="BE28" s="85" t="n"/>
      <c r="BF28" s="85" t="n"/>
      <c r="BG28" s="85" t="n"/>
      <c r="BH28" s="85" t="n"/>
      <c r="BI28" s="85" t="n"/>
      <c r="BJ28" s="85" t="n"/>
      <c r="BK28" s="86" t="n"/>
      <c r="BQ28" s="0" t="n"/>
      <c r="BR28" s="0" t="n"/>
      <c r="BS28" s="0" t="n"/>
    </row>
    <row r="29" ht="7.5" customHeight="1" s="67">
      <c r="A29" s="87" t="n"/>
      <c r="B29" s="88" t="n"/>
      <c r="C29" s="89" t="n"/>
      <c r="D29" s="87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8" t="n"/>
      <c r="AB29" s="88" t="n"/>
      <c r="AC29" s="88" t="n"/>
      <c r="AD29" s="88" t="n"/>
      <c r="AE29" s="88" t="n"/>
      <c r="AF29" s="88" t="n"/>
      <c r="AG29" s="89" t="n"/>
      <c r="AH29" s="87" t="n"/>
      <c r="AI29" s="88" t="n"/>
      <c r="AJ29" s="88" t="n"/>
      <c r="AK29" s="88" t="n"/>
      <c r="AL29" s="88" t="n"/>
      <c r="AM29" s="89" t="n"/>
      <c r="AN29" s="87" t="n"/>
      <c r="AO29" s="88" t="n"/>
      <c r="AP29" s="88" t="n"/>
      <c r="AQ29" s="88" t="n"/>
      <c r="AR29" s="88" t="n"/>
      <c r="AS29" s="88" t="n"/>
      <c r="AT29" s="88" t="n"/>
      <c r="AU29" s="88" t="n"/>
      <c r="AV29" s="88" t="n"/>
      <c r="AW29" s="88" t="n"/>
      <c r="AX29" s="88" t="n"/>
      <c r="AY29" s="89" t="n"/>
      <c r="AZ29" s="87" t="n"/>
      <c r="BA29" s="88" t="n"/>
      <c r="BB29" s="88" t="n"/>
      <c r="BC29" s="88" t="n"/>
      <c r="BD29" s="88" t="n"/>
      <c r="BE29" s="88" t="n"/>
      <c r="BF29" s="88" t="n"/>
      <c r="BG29" s="88" t="n"/>
      <c r="BH29" s="88" t="n"/>
      <c r="BI29" s="88" t="n"/>
      <c r="BJ29" s="88" t="n"/>
      <c r="BK29" s="89" t="n"/>
      <c r="BQ29" s="0" t="n"/>
      <c r="BR29" s="0" t="n"/>
      <c r="BS29" s="0" t="n"/>
    </row>
    <row r="30" ht="7.5" customHeight="1" s="67">
      <c r="A30" s="26">
        <f>IF(D30="","",IF(MAX($A$28:A28)="","",MAX($A$28:A28)+1))</f>
        <v/>
      </c>
      <c r="B30" s="85" t="n"/>
      <c r="C30" s="86" t="n"/>
      <c r="D30" s="27">
        <f>IF(発注書中身!E3="","",発注書中身!E3)</f>
        <v/>
      </c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  <c r="AA30" s="85" t="n"/>
      <c r="AB30" s="85" t="n"/>
      <c r="AC30" s="85" t="n"/>
      <c r="AD30" s="85" t="n"/>
      <c r="AE30" s="85" t="n"/>
      <c r="AF30" s="85" t="n"/>
      <c r="AG30" s="86" t="n"/>
      <c r="AH30" s="26">
        <f>IF(発注書中身!F3="","",発注書中身!F3)</f>
        <v/>
      </c>
      <c r="AI30" s="85" t="n"/>
      <c r="AJ30" s="85" t="n"/>
      <c r="AK30" s="85" t="n"/>
      <c r="AL30" s="85" t="n"/>
      <c r="AM30" s="86" t="n"/>
      <c r="AN30" s="90">
        <f>IF(発注書中身!G3="","",発注書中身!G3)</f>
        <v/>
      </c>
      <c r="AO30" s="85" t="n"/>
      <c r="AP30" s="85" t="n"/>
      <c r="AQ30" s="85" t="n"/>
      <c r="AR30" s="85" t="n"/>
      <c r="AS30" s="85" t="n"/>
      <c r="AT30" s="85" t="n"/>
      <c r="AU30" s="85" t="n"/>
      <c r="AV30" s="85" t="n"/>
      <c r="AW30" s="85" t="n"/>
      <c r="AX30" s="85" t="n"/>
      <c r="AY30" s="86" t="n"/>
      <c r="AZ30" s="90">
        <f>IF(AND(AH30&lt;&gt;"",AN30&lt;&gt;""),AH30*AN30,"")</f>
        <v/>
      </c>
      <c r="BA30" s="85" t="n"/>
      <c r="BB30" s="85" t="n"/>
      <c r="BC30" s="85" t="n"/>
      <c r="BD30" s="85" t="n"/>
      <c r="BE30" s="85" t="n"/>
      <c r="BF30" s="85" t="n"/>
      <c r="BG30" s="85" t="n"/>
      <c r="BH30" s="85" t="n"/>
      <c r="BI30" s="85" t="n"/>
      <c r="BJ30" s="85" t="n"/>
      <c r="BK30" s="86" t="n"/>
      <c r="BQ30" s="0" t="n"/>
      <c r="BR30" s="0" t="n"/>
      <c r="BS30" s="0" t="n"/>
    </row>
    <row r="31" ht="7.5" customHeight="1" s="67">
      <c r="A31" s="87" t="n"/>
      <c r="B31" s="88" t="n"/>
      <c r="C31" s="89" t="n"/>
      <c r="D31" s="87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8" t="n"/>
      <c r="AB31" s="88" t="n"/>
      <c r="AC31" s="88" t="n"/>
      <c r="AD31" s="88" t="n"/>
      <c r="AE31" s="88" t="n"/>
      <c r="AF31" s="88" t="n"/>
      <c r="AG31" s="89" t="n"/>
      <c r="AH31" s="87" t="n"/>
      <c r="AI31" s="88" t="n"/>
      <c r="AJ31" s="88" t="n"/>
      <c r="AK31" s="88" t="n"/>
      <c r="AL31" s="88" t="n"/>
      <c r="AM31" s="89" t="n"/>
      <c r="AN31" s="87" t="n"/>
      <c r="AO31" s="88" t="n"/>
      <c r="AP31" s="88" t="n"/>
      <c r="AQ31" s="88" t="n"/>
      <c r="AR31" s="88" t="n"/>
      <c r="AS31" s="88" t="n"/>
      <c r="AT31" s="88" t="n"/>
      <c r="AU31" s="88" t="n"/>
      <c r="AV31" s="88" t="n"/>
      <c r="AW31" s="88" t="n"/>
      <c r="AX31" s="88" t="n"/>
      <c r="AY31" s="89" t="n"/>
      <c r="AZ31" s="87" t="n"/>
      <c r="BA31" s="88" t="n"/>
      <c r="BB31" s="88" t="n"/>
      <c r="BC31" s="88" t="n"/>
      <c r="BD31" s="88" t="n"/>
      <c r="BE31" s="88" t="n"/>
      <c r="BF31" s="88" t="n"/>
      <c r="BG31" s="88" t="n"/>
      <c r="BH31" s="88" t="n"/>
      <c r="BI31" s="88" t="n"/>
      <c r="BJ31" s="88" t="n"/>
      <c r="BK31" s="89" t="n"/>
      <c r="BQ31" s="0" t="n"/>
      <c r="BR31" s="0" t="n"/>
      <c r="BS31" s="0" t="n"/>
    </row>
    <row r="32" ht="7.5" customHeight="1" s="67">
      <c r="A32" s="26">
        <f>IF(D32="","",IF(MAX($A$28:A30)="","",MAX($A$28:A30)+1))</f>
        <v/>
      </c>
      <c r="B32" s="85" t="n"/>
      <c r="C32" s="86" t="n"/>
      <c r="D32" s="27">
        <f>IF(発注書中身!E4="","",発注書中身!E4)</f>
        <v/>
      </c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  <c r="AA32" s="85" t="n"/>
      <c r="AB32" s="85" t="n"/>
      <c r="AC32" s="85" t="n"/>
      <c r="AD32" s="85" t="n"/>
      <c r="AE32" s="85" t="n"/>
      <c r="AF32" s="85" t="n"/>
      <c r="AG32" s="86" t="n"/>
      <c r="AH32" s="26">
        <f>IF(発注書中身!F4="","",発注書中身!F4)</f>
        <v/>
      </c>
      <c r="AI32" s="85" t="n"/>
      <c r="AJ32" s="85" t="n"/>
      <c r="AK32" s="85" t="n"/>
      <c r="AL32" s="85" t="n"/>
      <c r="AM32" s="86" t="n"/>
      <c r="AN32" s="90">
        <f>IF(発注書中身!G4="","",発注書中身!G4)</f>
        <v/>
      </c>
      <c r="AO32" s="85" t="n"/>
      <c r="AP32" s="85" t="n"/>
      <c r="AQ32" s="85" t="n"/>
      <c r="AR32" s="85" t="n"/>
      <c r="AS32" s="85" t="n"/>
      <c r="AT32" s="85" t="n"/>
      <c r="AU32" s="85" t="n"/>
      <c r="AV32" s="85" t="n"/>
      <c r="AW32" s="85" t="n"/>
      <c r="AX32" s="85" t="n"/>
      <c r="AY32" s="86" t="n"/>
      <c r="AZ32" s="90">
        <f>IF(AND(AH32&lt;&gt;"",AN32&lt;&gt;""),AH32*AN32,"")</f>
        <v/>
      </c>
      <c r="BA32" s="85" t="n"/>
      <c r="BB32" s="85" t="n"/>
      <c r="BC32" s="85" t="n"/>
      <c r="BD32" s="85" t="n"/>
      <c r="BE32" s="85" t="n"/>
      <c r="BF32" s="85" t="n"/>
      <c r="BG32" s="85" t="n"/>
      <c r="BH32" s="85" t="n"/>
      <c r="BI32" s="85" t="n"/>
      <c r="BJ32" s="85" t="n"/>
      <c r="BK32" s="86" t="n"/>
      <c r="BQ32" s="0" t="n"/>
      <c r="BR32" s="0" t="n"/>
      <c r="BS32" s="0" t="n"/>
    </row>
    <row r="33" ht="7.5" customHeight="1" s="67">
      <c r="A33" s="87" t="n"/>
      <c r="B33" s="88" t="n"/>
      <c r="C33" s="89" t="n"/>
      <c r="D33" s="87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8" t="n"/>
      <c r="AB33" s="88" t="n"/>
      <c r="AC33" s="88" t="n"/>
      <c r="AD33" s="88" t="n"/>
      <c r="AE33" s="88" t="n"/>
      <c r="AF33" s="88" t="n"/>
      <c r="AG33" s="89" t="n"/>
      <c r="AH33" s="87" t="n"/>
      <c r="AI33" s="88" t="n"/>
      <c r="AJ33" s="88" t="n"/>
      <c r="AK33" s="88" t="n"/>
      <c r="AL33" s="88" t="n"/>
      <c r="AM33" s="89" t="n"/>
      <c r="AN33" s="87" t="n"/>
      <c r="AO33" s="88" t="n"/>
      <c r="AP33" s="88" t="n"/>
      <c r="AQ33" s="88" t="n"/>
      <c r="AR33" s="88" t="n"/>
      <c r="AS33" s="88" t="n"/>
      <c r="AT33" s="88" t="n"/>
      <c r="AU33" s="88" t="n"/>
      <c r="AV33" s="88" t="n"/>
      <c r="AW33" s="88" t="n"/>
      <c r="AX33" s="88" t="n"/>
      <c r="AY33" s="89" t="n"/>
      <c r="AZ33" s="87" t="n"/>
      <c r="BA33" s="88" t="n"/>
      <c r="BB33" s="88" t="n"/>
      <c r="BC33" s="88" t="n"/>
      <c r="BD33" s="88" t="n"/>
      <c r="BE33" s="88" t="n"/>
      <c r="BF33" s="88" t="n"/>
      <c r="BG33" s="88" t="n"/>
      <c r="BH33" s="88" t="n"/>
      <c r="BI33" s="88" t="n"/>
      <c r="BJ33" s="88" t="n"/>
      <c r="BK33" s="89" t="n"/>
      <c r="BQ33" s="0" t="n"/>
      <c r="BR33" s="0" t="n"/>
      <c r="BS33" s="0" t="n"/>
    </row>
    <row r="34" ht="7.5" customHeight="1" s="67">
      <c r="A34" s="26">
        <f>IF(D34="","",IF(MAX($A$28:A32)="","",MAX($A$28:A32)+1))</f>
        <v/>
      </c>
      <c r="B34" s="85" t="n"/>
      <c r="C34" s="86" t="n"/>
      <c r="D34" s="27">
        <f>IF(発注書中身!E5="","",発注書中身!E5)</f>
        <v/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  <c r="AA34" s="85" t="n"/>
      <c r="AB34" s="85" t="n"/>
      <c r="AC34" s="85" t="n"/>
      <c r="AD34" s="85" t="n"/>
      <c r="AE34" s="85" t="n"/>
      <c r="AF34" s="85" t="n"/>
      <c r="AG34" s="86" t="n"/>
      <c r="AH34" s="26">
        <f>IF(発注書中身!F5="","",発注書中身!F5)</f>
        <v/>
      </c>
      <c r="AI34" s="85" t="n"/>
      <c r="AJ34" s="85" t="n"/>
      <c r="AK34" s="85" t="n"/>
      <c r="AL34" s="85" t="n"/>
      <c r="AM34" s="86" t="n"/>
      <c r="AN34" s="90">
        <f>IF(発注書中身!G5="","",発注書中身!G5)</f>
        <v/>
      </c>
      <c r="AO34" s="85" t="n"/>
      <c r="AP34" s="85" t="n"/>
      <c r="AQ34" s="85" t="n"/>
      <c r="AR34" s="85" t="n"/>
      <c r="AS34" s="85" t="n"/>
      <c r="AT34" s="85" t="n"/>
      <c r="AU34" s="85" t="n"/>
      <c r="AV34" s="85" t="n"/>
      <c r="AW34" s="85" t="n"/>
      <c r="AX34" s="85" t="n"/>
      <c r="AY34" s="86" t="n"/>
      <c r="AZ34" s="90">
        <f>IF(AND(AH34&lt;&gt;"",AN34&lt;&gt;""),AH34*AN34,"")</f>
        <v/>
      </c>
      <c r="BA34" s="85" t="n"/>
      <c r="BB34" s="85" t="n"/>
      <c r="BC34" s="85" t="n"/>
      <c r="BD34" s="85" t="n"/>
      <c r="BE34" s="85" t="n"/>
      <c r="BF34" s="85" t="n"/>
      <c r="BG34" s="85" t="n"/>
      <c r="BH34" s="85" t="n"/>
      <c r="BI34" s="85" t="n"/>
      <c r="BJ34" s="85" t="n"/>
      <c r="BK34" s="86" t="n"/>
      <c r="BQ34" s="0" t="n"/>
      <c r="BR34" s="0" t="n"/>
      <c r="BS34" s="0" t="n"/>
    </row>
    <row r="35" ht="7.5" customHeight="1" s="67">
      <c r="A35" s="87" t="n"/>
      <c r="B35" s="88" t="n"/>
      <c r="C35" s="89" t="n"/>
      <c r="D35" s="87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8" t="n"/>
      <c r="AB35" s="88" t="n"/>
      <c r="AC35" s="88" t="n"/>
      <c r="AD35" s="88" t="n"/>
      <c r="AE35" s="88" t="n"/>
      <c r="AF35" s="88" t="n"/>
      <c r="AG35" s="89" t="n"/>
      <c r="AH35" s="87" t="n"/>
      <c r="AI35" s="88" t="n"/>
      <c r="AJ35" s="88" t="n"/>
      <c r="AK35" s="88" t="n"/>
      <c r="AL35" s="88" t="n"/>
      <c r="AM35" s="89" t="n"/>
      <c r="AN35" s="87" t="n"/>
      <c r="AO35" s="88" t="n"/>
      <c r="AP35" s="88" t="n"/>
      <c r="AQ35" s="88" t="n"/>
      <c r="AR35" s="88" t="n"/>
      <c r="AS35" s="88" t="n"/>
      <c r="AT35" s="88" t="n"/>
      <c r="AU35" s="88" t="n"/>
      <c r="AV35" s="88" t="n"/>
      <c r="AW35" s="88" t="n"/>
      <c r="AX35" s="88" t="n"/>
      <c r="AY35" s="89" t="n"/>
      <c r="AZ35" s="87" t="n"/>
      <c r="BA35" s="88" t="n"/>
      <c r="BB35" s="88" t="n"/>
      <c r="BC35" s="88" t="n"/>
      <c r="BD35" s="88" t="n"/>
      <c r="BE35" s="88" t="n"/>
      <c r="BF35" s="88" t="n"/>
      <c r="BG35" s="88" t="n"/>
      <c r="BH35" s="88" t="n"/>
      <c r="BI35" s="88" t="n"/>
      <c r="BJ35" s="88" t="n"/>
      <c r="BK35" s="89" t="n"/>
      <c r="BQ35" s="0" t="n"/>
      <c r="BR35" s="0" t="n"/>
      <c r="BS35" s="0" t="n"/>
    </row>
    <row r="36" ht="7.5" customHeight="1" s="67">
      <c r="A36" s="26">
        <f>IF(D36="","",IF(MAX($A$28:A34)="","",MAX($A$28:A34)+1))</f>
        <v/>
      </c>
      <c r="B36" s="85" t="n"/>
      <c r="C36" s="86" t="n"/>
      <c r="D36" s="27">
        <f>IF(発注書中身!E6="","",発注書中身!E6)</f>
        <v/>
      </c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  <c r="AA36" s="85" t="n"/>
      <c r="AB36" s="85" t="n"/>
      <c r="AC36" s="85" t="n"/>
      <c r="AD36" s="85" t="n"/>
      <c r="AE36" s="85" t="n"/>
      <c r="AF36" s="85" t="n"/>
      <c r="AG36" s="86" t="n"/>
      <c r="AH36" s="26">
        <f>IF(発注書中身!F6="","",発注書中身!F6)</f>
        <v/>
      </c>
      <c r="AI36" s="85" t="n"/>
      <c r="AJ36" s="85" t="n"/>
      <c r="AK36" s="85" t="n"/>
      <c r="AL36" s="85" t="n"/>
      <c r="AM36" s="86" t="n"/>
      <c r="AN36" s="90">
        <f>IF(発注書中身!G6="","",発注書中身!G6)</f>
        <v/>
      </c>
      <c r="AO36" s="85" t="n"/>
      <c r="AP36" s="85" t="n"/>
      <c r="AQ36" s="85" t="n"/>
      <c r="AR36" s="85" t="n"/>
      <c r="AS36" s="85" t="n"/>
      <c r="AT36" s="85" t="n"/>
      <c r="AU36" s="85" t="n"/>
      <c r="AV36" s="85" t="n"/>
      <c r="AW36" s="85" t="n"/>
      <c r="AX36" s="85" t="n"/>
      <c r="AY36" s="86" t="n"/>
      <c r="AZ36" s="90">
        <f>IF(AND(AH36&lt;&gt;"",AN36&lt;&gt;""),AH36*AN36,"")</f>
        <v/>
      </c>
      <c r="BA36" s="85" t="n"/>
      <c r="BB36" s="85" t="n"/>
      <c r="BC36" s="85" t="n"/>
      <c r="BD36" s="85" t="n"/>
      <c r="BE36" s="85" t="n"/>
      <c r="BF36" s="85" t="n"/>
      <c r="BG36" s="85" t="n"/>
      <c r="BH36" s="85" t="n"/>
      <c r="BI36" s="85" t="n"/>
      <c r="BJ36" s="85" t="n"/>
      <c r="BK36" s="86" t="n"/>
      <c r="BQ36" s="0" t="n"/>
      <c r="BR36" s="0" t="n"/>
      <c r="BS36" s="0" t="n"/>
    </row>
    <row r="37" ht="7.5" customHeight="1" s="67">
      <c r="A37" s="87" t="n"/>
      <c r="B37" s="88" t="n"/>
      <c r="C37" s="89" t="n"/>
      <c r="D37" s="87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9" t="n"/>
      <c r="AH37" s="87" t="n"/>
      <c r="AI37" s="88" t="n"/>
      <c r="AJ37" s="88" t="n"/>
      <c r="AK37" s="88" t="n"/>
      <c r="AL37" s="88" t="n"/>
      <c r="AM37" s="89" t="n"/>
      <c r="AN37" s="87" t="n"/>
      <c r="AO37" s="88" t="n"/>
      <c r="AP37" s="88" t="n"/>
      <c r="AQ37" s="88" t="n"/>
      <c r="AR37" s="88" t="n"/>
      <c r="AS37" s="88" t="n"/>
      <c r="AT37" s="88" t="n"/>
      <c r="AU37" s="88" t="n"/>
      <c r="AV37" s="88" t="n"/>
      <c r="AW37" s="88" t="n"/>
      <c r="AX37" s="88" t="n"/>
      <c r="AY37" s="89" t="n"/>
      <c r="AZ37" s="87" t="n"/>
      <c r="BA37" s="88" t="n"/>
      <c r="BB37" s="88" t="n"/>
      <c r="BC37" s="88" t="n"/>
      <c r="BD37" s="88" t="n"/>
      <c r="BE37" s="88" t="n"/>
      <c r="BF37" s="88" t="n"/>
      <c r="BG37" s="88" t="n"/>
      <c r="BH37" s="88" t="n"/>
      <c r="BI37" s="88" t="n"/>
      <c r="BJ37" s="88" t="n"/>
      <c r="BK37" s="89" t="n"/>
      <c r="BQ37" s="0" t="n"/>
      <c r="BR37" s="0" t="n"/>
      <c r="BS37" s="0" t="n"/>
    </row>
    <row r="38" ht="7.5" customHeight="1" s="67">
      <c r="A38" s="26">
        <f>IF(D38="","",IF(MAX($A$28:A36)="","",MAX($A$28:A36)+1))</f>
        <v/>
      </c>
      <c r="B38" s="85" t="n"/>
      <c r="C38" s="86" t="n"/>
      <c r="D38" s="27">
        <f>IF(発注書中身!E7="","",発注書中身!E7)</f>
        <v/>
      </c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  <c r="AA38" s="85" t="n"/>
      <c r="AB38" s="85" t="n"/>
      <c r="AC38" s="85" t="n"/>
      <c r="AD38" s="85" t="n"/>
      <c r="AE38" s="85" t="n"/>
      <c r="AF38" s="85" t="n"/>
      <c r="AG38" s="86" t="n"/>
      <c r="AH38" s="26">
        <f>IF(発注書中身!F7="","",発注書中身!F7)</f>
        <v/>
      </c>
      <c r="AI38" s="85" t="n"/>
      <c r="AJ38" s="85" t="n"/>
      <c r="AK38" s="85" t="n"/>
      <c r="AL38" s="85" t="n"/>
      <c r="AM38" s="86" t="n"/>
      <c r="AN38" s="90">
        <f>IF(発注書中身!G7="","",発注書中身!G7)</f>
        <v/>
      </c>
      <c r="AO38" s="85" t="n"/>
      <c r="AP38" s="85" t="n"/>
      <c r="AQ38" s="85" t="n"/>
      <c r="AR38" s="85" t="n"/>
      <c r="AS38" s="85" t="n"/>
      <c r="AT38" s="85" t="n"/>
      <c r="AU38" s="85" t="n"/>
      <c r="AV38" s="85" t="n"/>
      <c r="AW38" s="85" t="n"/>
      <c r="AX38" s="85" t="n"/>
      <c r="AY38" s="86" t="n"/>
      <c r="AZ38" s="90">
        <f>IF(AND(AH38&lt;&gt;"",AN38&lt;&gt;""),AH38*AN38,"")</f>
        <v/>
      </c>
      <c r="BA38" s="85" t="n"/>
      <c r="BB38" s="85" t="n"/>
      <c r="BC38" s="85" t="n"/>
      <c r="BD38" s="85" t="n"/>
      <c r="BE38" s="85" t="n"/>
      <c r="BF38" s="85" t="n"/>
      <c r="BG38" s="85" t="n"/>
      <c r="BH38" s="85" t="n"/>
      <c r="BI38" s="85" t="n"/>
      <c r="BJ38" s="85" t="n"/>
      <c r="BK38" s="86" t="n"/>
      <c r="BQ38" s="0" t="n"/>
      <c r="BR38" s="0" t="n"/>
      <c r="BS38" s="0" t="n"/>
    </row>
    <row r="39" ht="7.5" customHeight="1" s="67">
      <c r="A39" s="87" t="n"/>
      <c r="B39" s="88" t="n"/>
      <c r="C39" s="89" t="n"/>
      <c r="D39" s="87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8" t="n"/>
      <c r="AB39" s="88" t="n"/>
      <c r="AC39" s="88" t="n"/>
      <c r="AD39" s="88" t="n"/>
      <c r="AE39" s="88" t="n"/>
      <c r="AF39" s="88" t="n"/>
      <c r="AG39" s="89" t="n"/>
      <c r="AH39" s="87" t="n"/>
      <c r="AI39" s="88" t="n"/>
      <c r="AJ39" s="88" t="n"/>
      <c r="AK39" s="88" t="n"/>
      <c r="AL39" s="88" t="n"/>
      <c r="AM39" s="89" t="n"/>
      <c r="AN39" s="87" t="n"/>
      <c r="AO39" s="88" t="n"/>
      <c r="AP39" s="88" t="n"/>
      <c r="AQ39" s="88" t="n"/>
      <c r="AR39" s="88" t="n"/>
      <c r="AS39" s="88" t="n"/>
      <c r="AT39" s="88" t="n"/>
      <c r="AU39" s="88" t="n"/>
      <c r="AV39" s="88" t="n"/>
      <c r="AW39" s="88" t="n"/>
      <c r="AX39" s="88" t="n"/>
      <c r="AY39" s="89" t="n"/>
      <c r="AZ39" s="87" t="n"/>
      <c r="BA39" s="88" t="n"/>
      <c r="BB39" s="88" t="n"/>
      <c r="BC39" s="88" t="n"/>
      <c r="BD39" s="88" t="n"/>
      <c r="BE39" s="88" t="n"/>
      <c r="BF39" s="88" t="n"/>
      <c r="BG39" s="88" t="n"/>
      <c r="BH39" s="88" t="n"/>
      <c r="BI39" s="88" t="n"/>
      <c r="BJ39" s="88" t="n"/>
      <c r="BK39" s="89" t="n"/>
      <c r="BQ39" s="0" t="n"/>
      <c r="BR39" s="0" t="n"/>
      <c r="BS39" s="0" t="n"/>
    </row>
    <row r="40" ht="7.5" customHeight="1" s="67">
      <c r="A40" s="26">
        <f>IF(D40="","",IF(MAX($A$28:A38)="","",MAX($A$28:A38)+1))</f>
        <v/>
      </c>
      <c r="B40" s="85" t="n"/>
      <c r="C40" s="86" t="n"/>
      <c r="D40" s="27">
        <f>IF(発注書中身!E8="","",発注書中身!E8)</f>
        <v/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  <c r="AA40" s="85" t="n"/>
      <c r="AB40" s="85" t="n"/>
      <c r="AC40" s="85" t="n"/>
      <c r="AD40" s="85" t="n"/>
      <c r="AE40" s="85" t="n"/>
      <c r="AF40" s="85" t="n"/>
      <c r="AG40" s="86" t="n"/>
      <c r="AH40" s="26">
        <f>IF(発注書中身!F8="","",発注書中身!F8)</f>
        <v/>
      </c>
      <c r="AI40" s="85" t="n"/>
      <c r="AJ40" s="85" t="n"/>
      <c r="AK40" s="85" t="n"/>
      <c r="AL40" s="85" t="n"/>
      <c r="AM40" s="86" t="n"/>
      <c r="AN40" s="90">
        <f>IF(発注書中身!G8="","",発注書中身!G8)</f>
        <v/>
      </c>
      <c r="AO40" s="85" t="n"/>
      <c r="AP40" s="85" t="n"/>
      <c r="AQ40" s="85" t="n"/>
      <c r="AR40" s="85" t="n"/>
      <c r="AS40" s="85" t="n"/>
      <c r="AT40" s="85" t="n"/>
      <c r="AU40" s="85" t="n"/>
      <c r="AV40" s="85" t="n"/>
      <c r="AW40" s="85" t="n"/>
      <c r="AX40" s="85" t="n"/>
      <c r="AY40" s="86" t="n"/>
      <c r="AZ40" s="90">
        <f>IF(AND(AH40&lt;&gt;"",AN40&lt;&gt;""),AH40*AN40,"")</f>
        <v/>
      </c>
      <c r="BA40" s="85" t="n"/>
      <c r="BB40" s="85" t="n"/>
      <c r="BC40" s="85" t="n"/>
      <c r="BD40" s="85" t="n"/>
      <c r="BE40" s="85" t="n"/>
      <c r="BF40" s="85" t="n"/>
      <c r="BG40" s="85" t="n"/>
      <c r="BH40" s="85" t="n"/>
      <c r="BI40" s="85" t="n"/>
      <c r="BJ40" s="85" t="n"/>
      <c r="BK40" s="86" t="n"/>
      <c r="BQ40" s="0" t="n"/>
      <c r="BR40" s="0" t="n"/>
      <c r="BS40" s="0" t="n"/>
    </row>
    <row r="41" ht="7.5" customHeight="1" s="67">
      <c r="A41" s="87" t="n"/>
      <c r="B41" s="88" t="n"/>
      <c r="C41" s="89" t="n"/>
      <c r="D41" s="87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8" t="n"/>
      <c r="AB41" s="88" t="n"/>
      <c r="AC41" s="88" t="n"/>
      <c r="AD41" s="88" t="n"/>
      <c r="AE41" s="88" t="n"/>
      <c r="AF41" s="88" t="n"/>
      <c r="AG41" s="89" t="n"/>
      <c r="AH41" s="87" t="n"/>
      <c r="AI41" s="88" t="n"/>
      <c r="AJ41" s="88" t="n"/>
      <c r="AK41" s="88" t="n"/>
      <c r="AL41" s="88" t="n"/>
      <c r="AM41" s="89" t="n"/>
      <c r="AN41" s="87" t="n"/>
      <c r="AO41" s="88" t="n"/>
      <c r="AP41" s="88" t="n"/>
      <c r="AQ41" s="88" t="n"/>
      <c r="AR41" s="88" t="n"/>
      <c r="AS41" s="88" t="n"/>
      <c r="AT41" s="88" t="n"/>
      <c r="AU41" s="88" t="n"/>
      <c r="AV41" s="88" t="n"/>
      <c r="AW41" s="88" t="n"/>
      <c r="AX41" s="88" t="n"/>
      <c r="AY41" s="89" t="n"/>
      <c r="AZ41" s="87" t="n"/>
      <c r="BA41" s="88" t="n"/>
      <c r="BB41" s="88" t="n"/>
      <c r="BC41" s="88" t="n"/>
      <c r="BD41" s="88" t="n"/>
      <c r="BE41" s="88" t="n"/>
      <c r="BF41" s="88" t="n"/>
      <c r="BG41" s="88" t="n"/>
      <c r="BH41" s="88" t="n"/>
      <c r="BI41" s="88" t="n"/>
      <c r="BJ41" s="88" t="n"/>
      <c r="BK41" s="89" t="n"/>
      <c r="BQ41" s="0" t="n"/>
      <c r="BR41" s="0" t="n"/>
      <c r="BS41" s="0" t="n"/>
    </row>
    <row r="42" ht="7.5" customHeight="1" s="67">
      <c r="A42" s="26">
        <f>IF(D42="","",IF(MAX($A$28:A40)="","",MAX($A$28:A40)+1))</f>
        <v/>
      </c>
      <c r="B42" s="85" t="n"/>
      <c r="C42" s="86" t="n"/>
      <c r="D42" s="27">
        <f>IF(発注書中身!E9="","",発注書中身!E9)</f>
        <v/>
      </c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  <c r="AA42" s="85" t="n"/>
      <c r="AB42" s="85" t="n"/>
      <c r="AC42" s="85" t="n"/>
      <c r="AD42" s="85" t="n"/>
      <c r="AE42" s="85" t="n"/>
      <c r="AF42" s="85" t="n"/>
      <c r="AG42" s="86" t="n"/>
      <c r="AH42" s="26">
        <f>IF(発注書中身!F9="","",発注書中身!F9)</f>
        <v/>
      </c>
      <c r="AI42" s="85" t="n"/>
      <c r="AJ42" s="85" t="n"/>
      <c r="AK42" s="85" t="n"/>
      <c r="AL42" s="85" t="n"/>
      <c r="AM42" s="86" t="n"/>
      <c r="AN42" s="90">
        <f>IF(発注書中身!G9="","",発注書中身!G9)</f>
        <v/>
      </c>
      <c r="AO42" s="85" t="n"/>
      <c r="AP42" s="85" t="n"/>
      <c r="AQ42" s="85" t="n"/>
      <c r="AR42" s="85" t="n"/>
      <c r="AS42" s="85" t="n"/>
      <c r="AT42" s="85" t="n"/>
      <c r="AU42" s="85" t="n"/>
      <c r="AV42" s="85" t="n"/>
      <c r="AW42" s="85" t="n"/>
      <c r="AX42" s="85" t="n"/>
      <c r="AY42" s="86" t="n"/>
      <c r="AZ42" s="90">
        <f>IF(AND(AH42&lt;&gt;"",AN42&lt;&gt;""),AH42*AN42,"")</f>
        <v/>
      </c>
      <c r="BA42" s="85" t="n"/>
      <c r="BB42" s="85" t="n"/>
      <c r="BC42" s="85" t="n"/>
      <c r="BD42" s="85" t="n"/>
      <c r="BE42" s="85" t="n"/>
      <c r="BF42" s="85" t="n"/>
      <c r="BG42" s="85" t="n"/>
      <c r="BH42" s="85" t="n"/>
      <c r="BI42" s="85" t="n"/>
      <c r="BJ42" s="85" t="n"/>
      <c r="BK42" s="86" t="n"/>
      <c r="BQ42" s="0" t="n"/>
      <c r="BR42" s="0" t="n"/>
      <c r="BS42" s="0" t="n"/>
    </row>
    <row r="43" ht="7.5" customHeight="1" s="67">
      <c r="A43" s="87" t="n"/>
      <c r="B43" s="88" t="n"/>
      <c r="C43" s="89" t="n"/>
      <c r="D43" s="87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8" t="n"/>
      <c r="AB43" s="88" t="n"/>
      <c r="AC43" s="88" t="n"/>
      <c r="AD43" s="88" t="n"/>
      <c r="AE43" s="88" t="n"/>
      <c r="AF43" s="88" t="n"/>
      <c r="AG43" s="89" t="n"/>
      <c r="AH43" s="87" t="n"/>
      <c r="AI43" s="88" t="n"/>
      <c r="AJ43" s="88" t="n"/>
      <c r="AK43" s="88" t="n"/>
      <c r="AL43" s="88" t="n"/>
      <c r="AM43" s="89" t="n"/>
      <c r="AN43" s="87" t="n"/>
      <c r="AO43" s="88" t="n"/>
      <c r="AP43" s="88" t="n"/>
      <c r="AQ43" s="88" t="n"/>
      <c r="AR43" s="88" t="n"/>
      <c r="AS43" s="88" t="n"/>
      <c r="AT43" s="88" t="n"/>
      <c r="AU43" s="88" t="n"/>
      <c r="AV43" s="88" t="n"/>
      <c r="AW43" s="88" t="n"/>
      <c r="AX43" s="88" t="n"/>
      <c r="AY43" s="89" t="n"/>
      <c r="AZ43" s="87" t="n"/>
      <c r="BA43" s="88" t="n"/>
      <c r="BB43" s="88" t="n"/>
      <c r="BC43" s="88" t="n"/>
      <c r="BD43" s="88" t="n"/>
      <c r="BE43" s="88" t="n"/>
      <c r="BF43" s="88" t="n"/>
      <c r="BG43" s="88" t="n"/>
      <c r="BH43" s="88" t="n"/>
      <c r="BI43" s="88" t="n"/>
      <c r="BJ43" s="88" t="n"/>
      <c r="BK43" s="89" t="n"/>
      <c r="BQ43" s="0" t="n"/>
      <c r="BR43" s="0" t="n"/>
      <c r="BS43" s="0" t="n"/>
    </row>
    <row r="44" ht="7.5" customHeight="1" s="67">
      <c r="A44" s="26">
        <f>IF(D44="","",IF(MAX($A$28:A42)="","",MAX($A$28:A42)+1))</f>
        <v/>
      </c>
      <c r="B44" s="85" t="n"/>
      <c r="C44" s="86" t="n"/>
      <c r="D44" s="27">
        <f>IF(発注書中身!E10="","",発注書中身!E10)</f>
        <v/>
      </c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  <c r="AA44" s="85" t="n"/>
      <c r="AB44" s="85" t="n"/>
      <c r="AC44" s="85" t="n"/>
      <c r="AD44" s="85" t="n"/>
      <c r="AE44" s="85" t="n"/>
      <c r="AF44" s="85" t="n"/>
      <c r="AG44" s="86" t="n"/>
      <c r="AH44" s="26">
        <f>IF(発注書中身!F10="","",発注書中身!F10)</f>
        <v/>
      </c>
      <c r="AI44" s="85" t="n"/>
      <c r="AJ44" s="85" t="n"/>
      <c r="AK44" s="85" t="n"/>
      <c r="AL44" s="85" t="n"/>
      <c r="AM44" s="86" t="n"/>
      <c r="AN44" s="90">
        <f>IF(発注書中身!G10="","",発注書中身!G10)</f>
        <v/>
      </c>
      <c r="AO44" s="85" t="n"/>
      <c r="AP44" s="85" t="n"/>
      <c r="AQ44" s="85" t="n"/>
      <c r="AR44" s="85" t="n"/>
      <c r="AS44" s="85" t="n"/>
      <c r="AT44" s="85" t="n"/>
      <c r="AU44" s="85" t="n"/>
      <c r="AV44" s="85" t="n"/>
      <c r="AW44" s="85" t="n"/>
      <c r="AX44" s="85" t="n"/>
      <c r="AY44" s="86" t="n"/>
      <c r="AZ44" s="90">
        <f>IF(AND(AH44&lt;&gt;"",AN44&lt;&gt;""),AH44*AN44,"")</f>
        <v/>
      </c>
      <c r="BA44" s="85" t="n"/>
      <c r="BB44" s="85" t="n"/>
      <c r="BC44" s="85" t="n"/>
      <c r="BD44" s="85" t="n"/>
      <c r="BE44" s="85" t="n"/>
      <c r="BF44" s="85" t="n"/>
      <c r="BG44" s="85" t="n"/>
      <c r="BH44" s="85" t="n"/>
      <c r="BI44" s="85" t="n"/>
      <c r="BJ44" s="85" t="n"/>
      <c r="BK44" s="86" t="n"/>
      <c r="BQ44" s="0" t="n"/>
      <c r="BR44" s="0" t="n"/>
      <c r="BS44" s="0" t="n"/>
    </row>
    <row r="45" ht="7.5" customHeight="1" s="67">
      <c r="A45" s="87" t="n"/>
      <c r="B45" s="88" t="n"/>
      <c r="C45" s="89" t="n"/>
      <c r="D45" s="87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8" t="n"/>
      <c r="AB45" s="88" t="n"/>
      <c r="AC45" s="88" t="n"/>
      <c r="AD45" s="88" t="n"/>
      <c r="AE45" s="88" t="n"/>
      <c r="AF45" s="88" t="n"/>
      <c r="AG45" s="89" t="n"/>
      <c r="AH45" s="87" t="n"/>
      <c r="AI45" s="88" t="n"/>
      <c r="AJ45" s="88" t="n"/>
      <c r="AK45" s="88" t="n"/>
      <c r="AL45" s="88" t="n"/>
      <c r="AM45" s="89" t="n"/>
      <c r="AN45" s="87" t="n"/>
      <c r="AO45" s="88" t="n"/>
      <c r="AP45" s="88" t="n"/>
      <c r="AQ45" s="88" t="n"/>
      <c r="AR45" s="88" t="n"/>
      <c r="AS45" s="88" t="n"/>
      <c r="AT45" s="88" t="n"/>
      <c r="AU45" s="88" t="n"/>
      <c r="AV45" s="88" t="n"/>
      <c r="AW45" s="88" t="n"/>
      <c r="AX45" s="88" t="n"/>
      <c r="AY45" s="89" t="n"/>
      <c r="AZ45" s="87" t="n"/>
      <c r="BA45" s="88" t="n"/>
      <c r="BB45" s="88" t="n"/>
      <c r="BC45" s="88" t="n"/>
      <c r="BD45" s="88" t="n"/>
      <c r="BE45" s="88" t="n"/>
      <c r="BF45" s="88" t="n"/>
      <c r="BG45" s="88" t="n"/>
      <c r="BH45" s="88" t="n"/>
      <c r="BI45" s="88" t="n"/>
      <c r="BJ45" s="88" t="n"/>
      <c r="BK45" s="89" t="n"/>
      <c r="BQ45" s="0" t="n"/>
      <c r="BR45" s="0" t="n"/>
      <c r="BS45" s="0" t="n"/>
    </row>
    <row r="46" ht="7.5" customHeight="1" s="67">
      <c r="A46" s="26">
        <f>IF(D46="","",IF(MAX($A$28:A44)="","",MAX($A$28:A44)+1))</f>
        <v/>
      </c>
      <c r="B46" s="85" t="n"/>
      <c r="C46" s="86" t="n"/>
      <c r="D46" s="27">
        <f>IF(発注書中身!E11="","",発注書中身!E11)</f>
        <v/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  <c r="AA46" s="85" t="n"/>
      <c r="AB46" s="85" t="n"/>
      <c r="AC46" s="85" t="n"/>
      <c r="AD46" s="85" t="n"/>
      <c r="AE46" s="85" t="n"/>
      <c r="AF46" s="85" t="n"/>
      <c r="AG46" s="86" t="n"/>
      <c r="AH46" s="26">
        <f>IF(発注書中身!F11="","",発注書中身!F11)</f>
        <v/>
      </c>
      <c r="AI46" s="85" t="n"/>
      <c r="AJ46" s="85" t="n"/>
      <c r="AK46" s="85" t="n"/>
      <c r="AL46" s="85" t="n"/>
      <c r="AM46" s="86" t="n"/>
      <c r="AN46" s="90">
        <f>IF(発注書中身!G11="","",発注書中身!G11)</f>
        <v/>
      </c>
      <c r="AO46" s="85" t="n"/>
      <c r="AP46" s="85" t="n"/>
      <c r="AQ46" s="85" t="n"/>
      <c r="AR46" s="85" t="n"/>
      <c r="AS46" s="85" t="n"/>
      <c r="AT46" s="85" t="n"/>
      <c r="AU46" s="85" t="n"/>
      <c r="AV46" s="85" t="n"/>
      <c r="AW46" s="85" t="n"/>
      <c r="AX46" s="85" t="n"/>
      <c r="AY46" s="86" t="n"/>
      <c r="AZ46" s="90">
        <f>IF(AND(AH46&lt;&gt;"",AN46&lt;&gt;""),AH46*AN46,"")</f>
        <v/>
      </c>
      <c r="BA46" s="85" t="n"/>
      <c r="BB46" s="85" t="n"/>
      <c r="BC46" s="85" t="n"/>
      <c r="BD46" s="85" t="n"/>
      <c r="BE46" s="85" t="n"/>
      <c r="BF46" s="85" t="n"/>
      <c r="BG46" s="85" t="n"/>
      <c r="BH46" s="85" t="n"/>
      <c r="BI46" s="85" t="n"/>
      <c r="BJ46" s="85" t="n"/>
      <c r="BK46" s="86" t="n"/>
      <c r="BQ46" s="0" t="n"/>
      <c r="BR46" s="0" t="n"/>
      <c r="BS46" s="0" t="n"/>
    </row>
    <row r="47" ht="7.5" customHeight="1" s="67">
      <c r="A47" s="87" t="n"/>
      <c r="B47" s="88" t="n"/>
      <c r="C47" s="89" t="n"/>
      <c r="D47" s="87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8" t="n"/>
      <c r="AB47" s="88" t="n"/>
      <c r="AC47" s="88" t="n"/>
      <c r="AD47" s="88" t="n"/>
      <c r="AE47" s="88" t="n"/>
      <c r="AF47" s="88" t="n"/>
      <c r="AG47" s="89" t="n"/>
      <c r="AH47" s="87" t="n"/>
      <c r="AI47" s="88" t="n"/>
      <c r="AJ47" s="88" t="n"/>
      <c r="AK47" s="88" t="n"/>
      <c r="AL47" s="88" t="n"/>
      <c r="AM47" s="89" t="n"/>
      <c r="AN47" s="87" t="n"/>
      <c r="AO47" s="88" t="n"/>
      <c r="AP47" s="88" t="n"/>
      <c r="AQ47" s="88" t="n"/>
      <c r="AR47" s="88" t="n"/>
      <c r="AS47" s="88" t="n"/>
      <c r="AT47" s="88" t="n"/>
      <c r="AU47" s="88" t="n"/>
      <c r="AV47" s="88" t="n"/>
      <c r="AW47" s="88" t="n"/>
      <c r="AX47" s="88" t="n"/>
      <c r="AY47" s="89" t="n"/>
      <c r="AZ47" s="87" t="n"/>
      <c r="BA47" s="88" t="n"/>
      <c r="BB47" s="88" t="n"/>
      <c r="BC47" s="88" t="n"/>
      <c r="BD47" s="88" t="n"/>
      <c r="BE47" s="88" t="n"/>
      <c r="BF47" s="88" t="n"/>
      <c r="BG47" s="88" t="n"/>
      <c r="BH47" s="88" t="n"/>
      <c r="BI47" s="88" t="n"/>
      <c r="BJ47" s="88" t="n"/>
      <c r="BK47" s="89" t="n"/>
      <c r="BQ47" s="0" t="n"/>
      <c r="BR47" s="0" t="n"/>
      <c r="BS47" s="0" t="n"/>
    </row>
    <row r="48" ht="7.5" customHeight="1" s="67">
      <c r="A48" s="26">
        <f>IF(D48="","",IF(MAX($A$28:A46)="","",MAX($A$28:A46)+1))</f>
        <v/>
      </c>
      <c r="B48" s="85" t="n"/>
      <c r="C48" s="86" t="n"/>
      <c r="D48" s="27">
        <f>IF(発注書中身!E12="","",発注書中身!E12)</f>
        <v/>
      </c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  <c r="AA48" s="85" t="n"/>
      <c r="AB48" s="85" t="n"/>
      <c r="AC48" s="85" t="n"/>
      <c r="AD48" s="85" t="n"/>
      <c r="AE48" s="85" t="n"/>
      <c r="AF48" s="85" t="n"/>
      <c r="AG48" s="86" t="n"/>
      <c r="AH48" s="26">
        <f>IF(発注書中身!F12="","",発注書中身!F12)</f>
        <v/>
      </c>
      <c r="AI48" s="85" t="n"/>
      <c r="AJ48" s="85" t="n"/>
      <c r="AK48" s="85" t="n"/>
      <c r="AL48" s="85" t="n"/>
      <c r="AM48" s="86" t="n"/>
      <c r="AN48" s="90">
        <f>IF(発注書中身!G12="","",発注書中身!G12)</f>
        <v/>
      </c>
      <c r="AO48" s="85" t="n"/>
      <c r="AP48" s="85" t="n"/>
      <c r="AQ48" s="85" t="n"/>
      <c r="AR48" s="85" t="n"/>
      <c r="AS48" s="85" t="n"/>
      <c r="AT48" s="85" t="n"/>
      <c r="AU48" s="85" t="n"/>
      <c r="AV48" s="85" t="n"/>
      <c r="AW48" s="85" t="n"/>
      <c r="AX48" s="85" t="n"/>
      <c r="AY48" s="86" t="n"/>
      <c r="AZ48" s="90">
        <f>IF(AND(AH48&lt;&gt;"",AN48&lt;&gt;""),AH48*AN48,"")</f>
        <v/>
      </c>
      <c r="BA48" s="85" t="n"/>
      <c r="BB48" s="85" t="n"/>
      <c r="BC48" s="85" t="n"/>
      <c r="BD48" s="85" t="n"/>
      <c r="BE48" s="85" t="n"/>
      <c r="BF48" s="85" t="n"/>
      <c r="BG48" s="85" t="n"/>
      <c r="BH48" s="85" t="n"/>
      <c r="BI48" s="85" t="n"/>
      <c r="BJ48" s="85" t="n"/>
      <c r="BK48" s="86" t="n"/>
      <c r="BQ48" s="0" t="n"/>
      <c r="BR48" s="0" t="n"/>
      <c r="BS48" s="0" t="n"/>
    </row>
    <row r="49" ht="7.5" customHeight="1" s="67">
      <c r="A49" s="87" t="n"/>
      <c r="B49" s="88" t="n"/>
      <c r="C49" s="89" t="n"/>
      <c r="D49" s="87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8" t="n"/>
      <c r="AB49" s="88" t="n"/>
      <c r="AC49" s="88" t="n"/>
      <c r="AD49" s="88" t="n"/>
      <c r="AE49" s="88" t="n"/>
      <c r="AF49" s="88" t="n"/>
      <c r="AG49" s="89" t="n"/>
      <c r="AH49" s="87" t="n"/>
      <c r="AI49" s="88" t="n"/>
      <c r="AJ49" s="88" t="n"/>
      <c r="AK49" s="88" t="n"/>
      <c r="AL49" s="88" t="n"/>
      <c r="AM49" s="89" t="n"/>
      <c r="AN49" s="87" t="n"/>
      <c r="AO49" s="88" t="n"/>
      <c r="AP49" s="88" t="n"/>
      <c r="AQ49" s="88" t="n"/>
      <c r="AR49" s="88" t="n"/>
      <c r="AS49" s="88" t="n"/>
      <c r="AT49" s="88" t="n"/>
      <c r="AU49" s="88" t="n"/>
      <c r="AV49" s="88" t="n"/>
      <c r="AW49" s="88" t="n"/>
      <c r="AX49" s="88" t="n"/>
      <c r="AY49" s="89" t="n"/>
      <c r="AZ49" s="87" t="n"/>
      <c r="BA49" s="88" t="n"/>
      <c r="BB49" s="88" t="n"/>
      <c r="BC49" s="88" t="n"/>
      <c r="BD49" s="88" t="n"/>
      <c r="BE49" s="88" t="n"/>
      <c r="BF49" s="88" t="n"/>
      <c r="BG49" s="88" t="n"/>
      <c r="BH49" s="88" t="n"/>
      <c r="BI49" s="88" t="n"/>
      <c r="BJ49" s="88" t="n"/>
      <c r="BK49" s="89" t="n"/>
      <c r="BQ49" s="0" t="n"/>
      <c r="BR49" s="0" t="n"/>
      <c r="BS49" s="0" t="n"/>
    </row>
    <row r="50" ht="7.5" customHeight="1" s="67">
      <c r="A50" s="26">
        <f>IF(D50="","",IF(MAX($A$28:A48)="","",MAX($A$28:A48)+1))</f>
        <v/>
      </c>
      <c r="B50" s="85" t="n"/>
      <c r="C50" s="86" t="n"/>
      <c r="D50" s="27">
        <f>IF(発注書中身!E13="","",発注書中身!E13)</f>
        <v/>
      </c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  <c r="AA50" s="85" t="n"/>
      <c r="AB50" s="85" t="n"/>
      <c r="AC50" s="85" t="n"/>
      <c r="AD50" s="85" t="n"/>
      <c r="AE50" s="85" t="n"/>
      <c r="AF50" s="85" t="n"/>
      <c r="AG50" s="86" t="n"/>
      <c r="AH50" s="26">
        <f>IF(発注書中身!F13="","",発注書中身!F13)</f>
        <v/>
      </c>
      <c r="AI50" s="85" t="n"/>
      <c r="AJ50" s="85" t="n"/>
      <c r="AK50" s="85" t="n"/>
      <c r="AL50" s="85" t="n"/>
      <c r="AM50" s="86" t="n"/>
      <c r="AN50" s="90">
        <f>IF(発注書中身!G13="","",発注書中身!G13)</f>
        <v/>
      </c>
      <c r="AO50" s="85" t="n"/>
      <c r="AP50" s="85" t="n"/>
      <c r="AQ50" s="85" t="n"/>
      <c r="AR50" s="85" t="n"/>
      <c r="AS50" s="85" t="n"/>
      <c r="AT50" s="85" t="n"/>
      <c r="AU50" s="85" t="n"/>
      <c r="AV50" s="85" t="n"/>
      <c r="AW50" s="85" t="n"/>
      <c r="AX50" s="85" t="n"/>
      <c r="AY50" s="86" t="n"/>
      <c r="AZ50" s="90">
        <f>IF(AND(AH50&lt;&gt;"",AN50&lt;&gt;""),AH50*AN50,"")</f>
        <v/>
      </c>
      <c r="BA50" s="85" t="n"/>
      <c r="BB50" s="85" t="n"/>
      <c r="BC50" s="85" t="n"/>
      <c r="BD50" s="85" t="n"/>
      <c r="BE50" s="85" t="n"/>
      <c r="BF50" s="85" t="n"/>
      <c r="BG50" s="85" t="n"/>
      <c r="BH50" s="85" t="n"/>
      <c r="BI50" s="85" t="n"/>
      <c r="BJ50" s="85" t="n"/>
      <c r="BK50" s="86" t="n"/>
      <c r="BQ50" s="0" t="n"/>
      <c r="BR50" s="0" t="n"/>
      <c r="BS50" s="0" t="n"/>
    </row>
    <row r="51" ht="7.5" customHeight="1" s="67">
      <c r="A51" s="87" t="n"/>
      <c r="B51" s="88" t="n"/>
      <c r="C51" s="89" t="n"/>
      <c r="D51" s="87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8" t="n"/>
      <c r="AB51" s="88" t="n"/>
      <c r="AC51" s="88" t="n"/>
      <c r="AD51" s="88" t="n"/>
      <c r="AE51" s="88" t="n"/>
      <c r="AF51" s="88" t="n"/>
      <c r="AG51" s="89" t="n"/>
      <c r="AH51" s="87" t="n"/>
      <c r="AI51" s="88" t="n"/>
      <c r="AJ51" s="88" t="n"/>
      <c r="AK51" s="88" t="n"/>
      <c r="AL51" s="88" t="n"/>
      <c r="AM51" s="89" t="n"/>
      <c r="AN51" s="87" t="n"/>
      <c r="AO51" s="88" t="n"/>
      <c r="AP51" s="88" t="n"/>
      <c r="AQ51" s="88" t="n"/>
      <c r="AR51" s="88" t="n"/>
      <c r="AS51" s="88" t="n"/>
      <c r="AT51" s="88" t="n"/>
      <c r="AU51" s="88" t="n"/>
      <c r="AV51" s="88" t="n"/>
      <c r="AW51" s="88" t="n"/>
      <c r="AX51" s="88" t="n"/>
      <c r="AY51" s="89" t="n"/>
      <c r="AZ51" s="87" t="n"/>
      <c r="BA51" s="88" t="n"/>
      <c r="BB51" s="88" t="n"/>
      <c r="BC51" s="88" t="n"/>
      <c r="BD51" s="88" t="n"/>
      <c r="BE51" s="88" t="n"/>
      <c r="BF51" s="88" t="n"/>
      <c r="BG51" s="88" t="n"/>
      <c r="BH51" s="88" t="n"/>
      <c r="BI51" s="88" t="n"/>
      <c r="BJ51" s="88" t="n"/>
      <c r="BK51" s="89" t="n"/>
      <c r="BQ51" s="0" t="n"/>
      <c r="BR51" s="0" t="n"/>
      <c r="BS51" s="0" t="n"/>
    </row>
    <row r="52" ht="7.5" customHeight="1" s="67">
      <c r="A52" s="26">
        <f>IF(D52="","",IF(MAX($A$28:A50)="","",MAX($A$28:A50)+1))</f>
        <v/>
      </c>
      <c r="B52" s="85" t="n"/>
      <c r="C52" s="86" t="n"/>
      <c r="D52" s="27">
        <f>IF(発注書中身!E14="","",発注書中身!E14)</f>
        <v/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  <c r="AA52" s="85" t="n"/>
      <c r="AB52" s="85" t="n"/>
      <c r="AC52" s="85" t="n"/>
      <c r="AD52" s="85" t="n"/>
      <c r="AE52" s="85" t="n"/>
      <c r="AF52" s="85" t="n"/>
      <c r="AG52" s="86" t="n"/>
      <c r="AH52" s="26">
        <f>IF(発注書中身!F14="","",発注書中身!F14)</f>
        <v/>
      </c>
      <c r="AI52" s="85" t="n"/>
      <c r="AJ52" s="85" t="n"/>
      <c r="AK52" s="85" t="n"/>
      <c r="AL52" s="85" t="n"/>
      <c r="AM52" s="86" t="n"/>
      <c r="AN52" s="90">
        <f>IF(発注書中身!G14="","",発注書中身!G14)</f>
        <v/>
      </c>
      <c r="AO52" s="85" t="n"/>
      <c r="AP52" s="85" t="n"/>
      <c r="AQ52" s="85" t="n"/>
      <c r="AR52" s="85" t="n"/>
      <c r="AS52" s="85" t="n"/>
      <c r="AT52" s="85" t="n"/>
      <c r="AU52" s="85" t="n"/>
      <c r="AV52" s="85" t="n"/>
      <c r="AW52" s="85" t="n"/>
      <c r="AX52" s="85" t="n"/>
      <c r="AY52" s="86" t="n"/>
      <c r="AZ52" s="90">
        <f>IF(AND(AH52&lt;&gt;"",AN52&lt;&gt;""),AH52*AN52,"")</f>
        <v/>
      </c>
      <c r="BA52" s="85" t="n"/>
      <c r="BB52" s="85" t="n"/>
      <c r="BC52" s="85" t="n"/>
      <c r="BD52" s="85" t="n"/>
      <c r="BE52" s="85" t="n"/>
      <c r="BF52" s="85" t="n"/>
      <c r="BG52" s="85" t="n"/>
      <c r="BH52" s="85" t="n"/>
      <c r="BI52" s="85" t="n"/>
      <c r="BJ52" s="85" t="n"/>
      <c r="BK52" s="86" t="n"/>
      <c r="BQ52" s="0" t="n"/>
      <c r="BR52" s="0" t="n"/>
      <c r="BS52" s="0" t="n"/>
    </row>
    <row r="53" ht="7.5" customHeight="1" s="67">
      <c r="A53" s="87" t="n"/>
      <c r="B53" s="88" t="n"/>
      <c r="C53" s="89" t="n"/>
      <c r="D53" s="87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8" t="n"/>
      <c r="AB53" s="88" t="n"/>
      <c r="AC53" s="88" t="n"/>
      <c r="AD53" s="88" t="n"/>
      <c r="AE53" s="88" t="n"/>
      <c r="AF53" s="88" t="n"/>
      <c r="AG53" s="89" t="n"/>
      <c r="AH53" s="87" t="n"/>
      <c r="AI53" s="88" t="n"/>
      <c r="AJ53" s="88" t="n"/>
      <c r="AK53" s="88" t="n"/>
      <c r="AL53" s="88" t="n"/>
      <c r="AM53" s="89" t="n"/>
      <c r="AN53" s="87" t="n"/>
      <c r="AO53" s="88" t="n"/>
      <c r="AP53" s="88" t="n"/>
      <c r="AQ53" s="88" t="n"/>
      <c r="AR53" s="88" t="n"/>
      <c r="AS53" s="88" t="n"/>
      <c r="AT53" s="88" t="n"/>
      <c r="AU53" s="88" t="n"/>
      <c r="AV53" s="88" t="n"/>
      <c r="AW53" s="88" t="n"/>
      <c r="AX53" s="88" t="n"/>
      <c r="AY53" s="89" t="n"/>
      <c r="AZ53" s="87" t="n"/>
      <c r="BA53" s="88" t="n"/>
      <c r="BB53" s="88" t="n"/>
      <c r="BC53" s="88" t="n"/>
      <c r="BD53" s="88" t="n"/>
      <c r="BE53" s="88" t="n"/>
      <c r="BF53" s="88" t="n"/>
      <c r="BG53" s="88" t="n"/>
      <c r="BH53" s="88" t="n"/>
      <c r="BI53" s="88" t="n"/>
      <c r="BJ53" s="88" t="n"/>
      <c r="BK53" s="89" t="n"/>
      <c r="BQ53" s="0" t="n"/>
      <c r="BR53" s="0" t="n"/>
      <c r="BS53" s="0" t="n"/>
    </row>
    <row r="54" ht="7.5" customHeight="1" s="67">
      <c r="A54" s="26">
        <f>IF(D54="","",IF(MAX($A$28:A52)="","",MAX($A$28:A52)+1))</f>
        <v/>
      </c>
      <c r="B54" s="85" t="n"/>
      <c r="C54" s="86" t="n"/>
      <c r="D54" s="27">
        <f>IF(発注書中身!E15="","",発注書中身!E15)</f>
        <v/>
      </c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  <c r="AA54" s="85" t="n"/>
      <c r="AB54" s="85" t="n"/>
      <c r="AC54" s="85" t="n"/>
      <c r="AD54" s="85" t="n"/>
      <c r="AE54" s="85" t="n"/>
      <c r="AF54" s="85" t="n"/>
      <c r="AG54" s="86" t="n"/>
      <c r="AH54" s="26">
        <f>IF(発注書中身!F15="","",発注書中身!F15)</f>
        <v/>
      </c>
      <c r="AI54" s="85" t="n"/>
      <c r="AJ54" s="85" t="n"/>
      <c r="AK54" s="85" t="n"/>
      <c r="AL54" s="85" t="n"/>
      <c r="AM54" s="86" t="n"/>
      <c r="AN54" s="90">
        <f>IF(発注書中身!G15="","",発注書中身!G15)</f>
        <v/>
      </c>
      <c r="AO54" s="85" t="n"/>
      <c r="AP54" s="85" t="n"/>
      <c r="AQ54" s="85" t="n"/>
      <c r="AR54" s="85" t="n"/>
      <c r="AS54" s="85" t="n"/>
      <c r="AT54" s="85" t="n"/>
      <c r="AU54" s="85" t="n"/>
      <c r="AV54" s="85" t="n"/>
      <c r="AW54" s="85" t="n"/>
      <c r="AX54" s="85" t="n"/>
      <c r="AY54" s="86" t="n"/>
      <c r="AZ54" s="90">
        <f>IF(AND(AH54&lt;&gt;"",AN54&lt;&gt;""),AH54*AN54,"")</f>
        <v/>
      </c>
      <c r="BA54" s="85" t="n"/>
      <c r="BB54" s="85" t="n"/>
      <c r="BC54" s="85" t="n"/>
      <c r="BD54" s="85" t="n"/>
      <c r="BE54" s="85" t="n"/>
      <c r="BF54" s="85" t="n"/>
      <c r="BG54" s="85" t="n"/>
      <c r="BH54" s="85" t="n"/>
      <c r="BI54" s="85" t="n"/>
      <c r="BJ54" s="85" t="n"/>
      <c r="BK54" s="86" t="n"/>
      <c r="BQ54" s="0" t="n"/>
      <c r="BR54" s="0" t="n"/>
      <c r="BS54" s="0" t="n"/>
    </row>
    <row r="55" ht="7.5" customHeight="1" s="67">
      <c r="A55" s="87" t="n"/>
      <c r="B55" s="88" t="n"/>
      <c r="C55" s="89" t="n"/>
      <c r="D55" s="87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8" t="n"/>
      <c r="AB55" s="88" t="n"/>
      <c r="AC55" s="88" t="n"/>
      <c r="AD55" s="88" t="n"/>
      <c r="AE55" s="88" t="n"/>
      <c r="AF55" s="88" t="n"/>
      <c r="AG55" s="89" t="n"/>
      <c r="AH55" s="87" t="n"/>
      <c r="AI55" s="88" t="n"/>
      <c r="AJ55" s="88" t="n"/>
      <c r="AK55" s="88" t="n"/>
      <c r="AL55" s="88" t="n"/>
      <c r="AM55" s="89" t="n"/>
      <c r="AN55" s="87" t="n"/>
      <c r="AO55" s="88" t="n"/>
      <c r="AP55" s="88" t="n"/>
      <c r="AQ55" s="88" t="n"/>
      <c r="AR55" s="88" t="n"/>
      <c r="AS55" s="88" t="n"/>
      <c r="AT55" s="88" t="n"/>
      <c r="AU55" s="88" t="n"/>
      <c r="AV55" s="88" t="n"/>
      <c r="AW55" s="88" t="n"/>
      <c r="AX55" s="88" t="n"/>
      <c r="AY55" s="89" t="n"/>
      <c r="AZ55" s="87" t="n"/>
      <c r="BA55" s="88" t="n"/>
      <c r="BB55" s="88" t="n"/>
      <c r="BC55" s="88" t="n"/>
      <c r="BD55" s="88" t="n"/>
      <c r="BE55" s="88" t="n"/>
      <c r="BF55" s="88" t="n"/>
      <c r="BG55" s="88" t="n"/>
      <c r="BH55" s="88" t="n"/>
      <c r="BI55" s="88" t="n"/>
      <c r="BJ55" s="88" t="n"/>
      <c r="BK55" s="89" t="n"/>
      <c r="BQ55" s="0" t="n"/>
      <c r="BR55" s="0" t="n"/>
      <c r="BS55" s="0" t="n"/>
    </row>
    <row r="56" ht="7.5" customHeight="1" s="67">
      <c r="A56" s="26">
        <f>IF(D56="","",IF(MAX($A$28:A54)="","",MAX($A$28:A54)+1))</f>
        <v/>
      </c>
      <c r="B56" s="85" t="n"/>
      <c r="C56" s="86" t="n"/>
      <c r="D56" s="27">
        <f>IF(発注書中身!E16="","",発注書中身!E16)</f>
        <v/>
      </c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6" t="n"/>
      <c r="AH56" s="26">
        <f>IF(発注書中身!F16="","",発注書中身!F16)</f>
        <v/>
      </c>
      <c r="AI56" s="85" t="n"/>
      <c r="AJ56" s="85" t="n"/>
      <c r="AK56" s="85" t="n"/>
      <c r="AL56" s="85" t="n"/>
      <c r="AM56" s="86" t="n"/>
      <c r="AN56" s="90">
        <f>IF(発注書中身!G16="","",発注書中身!G16)</f>
        <v/>
      </c>
      <c r="AO56" s="85" t="n"/>
      <c r="AP56" s="85" t="n"/>
      <c r="AQ56" s="85" t="n"/>
      <c r="AR56" s="85" t="n"/>
      <c r="AS56" s="85" t="n"/>
      <c r="AT56" s="85" t="n"/>
      <c r="AU56" s="85" t="n"/>
      <c r="AV56" s="85" t="n"/>
      <c r="AW56" s="85" t="n"/>
      <c r="AX56" s="85" t="n"/>
      <c r="AY56" s="86" t="n"/>
      <c r="AZ56" s="90">
        <f>IF(AND(AH56&lt;&gt;"",AN56&lt;&gt;""),AH56*AN56,"")</f>
        <v/>
      </c>
      <c r="BA56" s="85" t="n"/>
      <c r="BB56" s="85" t="n"/>
      <c r="BC56" s="85" t="n"/>
      <c r="BD56" s="85" t="n"/>
      <c r="BE56" s="85" t="n"/>
      <c r="BF56" s="85" t="n"/>
      <c r="BG56" s="85" t="n"/>
      <c r="BH56" s="85" t="n"/>
      <c r="BI56" s="85" t="n"/>
      <c r="BJ56" s="85" t="n"/>
      <c r="BK56" s="86" t="n"/>
      <c r="BQ56" s="0" t="n"/>
      <c r="BR56" s="0" t="n"/>
      <c r="BS56" s="0" t="n"/>
    </row>
    <row r="57" ht="7.5" customHeight="1" s="67">
      <c r="A57" s="87" t="n"/>
      <c r="B57" s="88" t="n"/>
      <c r="C57" s="89" t="n"/>
      <c r="D57" s="87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8" t="n"/>
      <c r="AB57" s="88" t="n"/>
      <c r="AC57" s="88" t="n"/>
      <c r="AD57" s="88" t="n"/>
      <c r="AE57" s="88" t="n"/>
      <c r="AF57" s="88" t="n"/>
      <c r="AG57" s="89" t="n"/>
      <c r="AH57" s="87" t="n"/>
      <c r="AI57" s="88" t="n"/>
      <c r="AJ57" s="88" t="n"/>
      <c r="AK57" s="88" t="n"/>
      <c r="AL57" s="88" t="n"/>
      <c r="AM57" s="89" t="n"/>
      <c r="AN57" s="87" t="n"/>
      <c r="AO57" s="88" t="n"/>
      <c r="AP57" s="88" t="n"/>
      <c r="AQ57" s="88" t="n"/>
      <c r="AR57" s="88" t="n"/>
      <c r="AS57" s="88" t="n"/>
      <c r="AT57" s="88" t="n"/>
      <c r="AU57" s="88" t="n"/>
      <c r="AV57" s="88" t="n"/>
      <c r="AW57" s="88" t="n"/>
      <c r="AX57" s="88" t="n"/>
      <c r="AY57" s="89" t="n"/>
      <c r="AZ57" s="87" t="n"/>
      <c r="BA57" s="88" t="n"/>
      <c r="BB57" s="88" t="n"/>
      <c r="BC57" s="88" t="n"/>
      <c r="BD57" s="88" t="n"/>
      <c r="BE57" s="88" t="n"/>
      <c r="BF57" s="88" t="n"/>
      <c r="BG57" s="88" t="n"/>
      <c r="BH57" s="88" t="n"/>
      <c r="BI57" s="88" t="n"/>
      <c r="BJ57" s="88" t="n"/>
      <c r="BK57" s="89" t="n"/>
      <c r="BQ57" s="0" t="n"/>
      <c r="BR57" s="0" t="n"/>
      <c r="BS57" s="0" t="n"/>
    </row>
    <row r="58" ht="7.5" customHeight="1" s="67">
      <c r="A58" s="26">
        <f>IF(D58="","",IF(MAX($A$28:A56)="","",MAX($A$28:A56)+1))</f>
        <v/>
      </c>
      <c r="B58" s="85" t="n"/>
      <c r="C58" s="86" t="n"/>
      <c r="D58" s="27">
        <f>IF(発注書中身!E17="","",発注書中身!E17)</f>
        <v/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6" t="n"/>
      <c r="AH58" s="26">
        <f>IF(発注書中身!F17="","",発注書中身!F17)</f>
        <v/>
      </c>
      <c r="AI58" s="85" t="n"/>
      <c r="AJ58" s="85" t="n"/>
      <c r="AK58" s="85" t="n"/>
      <c r="AL58" s="85" t="n"/>
      <c r="AM58" s="86" t="n"/>
      <c r="AN58" s="90">
        <f>IF(発注書中身!G17="","",発注書中身!G17)</f>
        <v/>
      </c>
      <c r="AO58" s="85" t="n"/>
      <c r="AP58" s="85" t="n"/>
      <c r="AQ58" s="85" t="n"/>
      <c r="AR58" s="85" t="n"/>
      <c r="AS58" s="85" t="n"/>
      <c r="AT58" s="85" t="n"/>
      <c r="AU58" s="85" t="n"/>
      <c r="AV58" s="85" t="n"/>
      <c r="AW58" s="85" t="n"/>
      <c r="AX58" s="85" t="n"/>
      <c r="AY58" s="86" t="n"/>
      <c r="AZ58" s="90">
        <f>IF(AND(AH58&lt;&gt;"",AN58&lt;&gt;""),AH58*AN58,"")</f>
        <v/>
      </c>
      <c r="BA58" s="85" t="n"/>
      <c r="BB58" s="85" t="n"/>
      <c r="BC58" s="85" t="n"/>
      <c r="BD58" s="85" t="n"/>
      <c r="BE58" s="85" t="n"/>
      <c r="BF58" s="85" t="n"/>
      <c r="BG58" s="85" t="n"/>
      <c r="BH58" s="85" t="n"/>
      <c r="BI58" s="85" t="n"/>
      <c r="BJ58" s="85" t="n"/>
      <c r="BK58" s="86" t="n"/>
      <c r="BQ58" s="0" t="n"/>
      <c r="BR58" s="0" t="n"/>
      <c r="BS58" s="0" t="n"/>
    </row>
    <row r="59" ht="7.5" customHeight="1" s="67">
      <c r="A59" s="87" t="n"/>
      <c r="B59" s="88" t="n"/>
      <c r="C59" s="89" t="n"/>
      <c r="D59" s="87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8" t="n"/>
      <c r="AB59" s="88" t="n"/>
      <c r="AC59" s="88" t="n"/>
      <c r="AD59" s="88" t="n"/>
      <c r="AE59" s="88" t="n"/>
      <c r="AF59" s="88" t="n"/>
      <c r="AG59" s="89" t="n"/>
      <c r="AH59" s="87" t="n"/>
      <c r="AI59" s="88" t="n"/>
      <c r="AJ59" s="88" t="n"/>
      <c r="AK59" s="88" t="n"/>
      <c r="AL59" s="88" t="n"/>
      <c r="AM59" s="89" t="n"/>
      <c r="AN59" s="87" t="n"/>
      <c r="AO59" s="88" t="n"/>
      <c r="AP59" s="88" t="n"/>
      <c r="AQ59" s="88" t="n"/>
      <c r="AR59" s="88" t="n"/>
      <c r="AS59" s="88" t="n"/>
      <c r="AT59" s="88" t="n"/>
      <c r="AU59" s="88" t="n"/>
      <c r="AV59" s="88" t="n"/>
      <c r="AW59" s="88" t="n"/>
      <c r="AX59" s="88" t="n"/>
      <c r="AY59" s="89" t="n"/>
      <c r="AZ59" s="87" t="n"/>
      <c r="BA59" s="88" t="n"/>
      <c r="BB59" s="88" t="n"/>
      <c r="BC59" s="88" t="n"/>
      <c r="BD59" s="88" t="n"/>
      <c r="BE59" s="88" t="n"/>
      <c r="BF59" s="88" t="n"/>
      <c r="BG59" s="88" t="n"/>
      <c r="BH59" s="88" t="n"/>
      <c r="BI59" s="88" t="n"/>
      <c r="BJ59" s="88" t="n"/>
      <c r="BK59" s="89" t="n"/>
      <c r="BQ59" s="0" t="n"/>
      <c r="BR59" s="0" t="n"/>
      <c r="BS59" s="0" t="n"/>
    </row>
    <row r="60" ht="7.5" customHeight="1" s="67">
      <c r="A60" s="26">
        <f>IF(D60="","",IF(MAX($A$28:A58)="","",MAX($A$28:A58)+1))</f>
        <v/>
      </c>
      <c r="B60" s="85" t="n"/>
      <c r="C60" s="86" t="n"/>
      <c r="D60" s="27">
        <f>IF(発注書中身!E18="","",発注書中身!E18)</f>
        <v/>
      </c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6" t="n"/>
      <c r="AH60" s="26">
        <f>IF(発注書中身!F18="","",発注書中身!F18)</f>
        <v/>
      </c>
      <c r="AI60" s="85" t="n"/>
      <c r="AJ60" s="85" t="n"/>
      <c r="AK60" s="85" t="n"/>
      <c r="AL60" s="85" t="n"/>
      <c r="AM60" s="86" t="n"/>
      <c r="AN60" s="90">
        <f>IF(発注書中身!G18="","",発注書中身!G18)</f>
        <v/>
      </c>
      <c r="AO60" s="85" t="n"/>
      <c r="AP60" s="85" t="n"/>
      <c r="AQ60" s="85" t="n"/>
      <c r="AR60" s="85" t="n"/>
      <c r="AS60" s="85" t="n"/>
      <c r="AT60" s="85" t="n"/>
      <c r="AU60" s="85" t="n"/>
      <c r="AV60" s="85" t="n"/>
      <c r="AW60" s="85" t="n"/>
      <c r="AX60" s="85" t="n"/>
      <c r="AY60" s="86" t="n"/>
      <c r="AZ60" s="90">
        <f>IF(AND(AH60&lt;&gt;"",AN60&lt;&gt;""),AH60*AN60,"")</f>
        <v/>
      </c>
      <c r="BA60" s="85" t="n"/>
      <c r="BB60" s="85" t="n"/>
      <c r="BC60" s="85" t="n"/>
      <c r="BD60" s="85" t="n"/>
      <c r="BE60" s="85" t="n"/>
      <c r="BF60" s="85" t="n"/>
      <c r="BG60" s="85" t="n"/>
      <c r="BH60" s="85" t="n"/>
      <c r="BI60" s="85" t="n"/>
      <c r="BJ60" s="85" t="n"/>
      <c r="BK60" s="86" t="n"/>
      <c r="BQ60" s="0" t="n"/>
      <c r="BR60" s="0" t="n"/>
      <c r="BS60" s="0" t="n"/>
    </row>
    <row r="61" ht="7.5" customHeight="1" s="67">
      <c r="A61" s="87" t="n"/>
      <c r="B61" s="88" t="n"/>
      <c r="C61" s="89" t="n"/>
      <c r="D61" s="87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8" t="n"/>
      <c r="AB61" s="88" t="n"/>
      <c r="AC61" s="88" t="n"/>
      <c r="AD61" s="88" t="n"/>
      <c r="AE61" s="88" t="n"/>
      <c r="AF61" s="88" t="n"/>
      <c r="AG61" s="89" t="n"/>
      <c r="AH61" s="87" t="n"/>
      <c r="AI61" s="88" t="n"/>
      <c r="AJ61" s="88" t="n"/>
      <c r="AK61" s="88" t="n"/>
      <c r="AL61" s="88" t="n"/>
      <c r="AM61" s="89" t="n"/>
      <c r="AN61" s="87" t="n"/>
      <c r="AO61" s="88" t="n"/>
      <c r="AP61" s="88" t="n"/>
      <c r="AQ61" s="88" t="n"/>
      <c r="AR61" s="88" t="n"/>
      <c r="AS61" s="88" t="n"/>
      <c r="AT61" s="88" t="n"/>
      <c r="AU61" s="88" t="n"/>
      <c r="AV61" s="88" t="n"/>
      <c r="AW61" s="88" t="n"/>
      <c r="AX61" s="88" t="n"/>
      <c r="AY61" s="89" t="n"/>
      <c r="AZ61" s="87" t="n"/>
      <c r="BA61" s="88" t="n"/>
      <c r="BB61" s="88" t="n"/>
      <c r="BC61" s="88" t="n"/>
      <c r="BD61" s="88" t="n"/>
      <c r="BE61" s="88" t="n"/>
      <c r="BF61" s="88" t="n"/>
      <c r="BG61" s="88" t="n"/>
      <c r="BH61" s="88" t="n"/>
      <c r="BI61" s="88" t="n"/>
      <c r="BJ61" s="88" t="n"/>
      <c r="BK61" s="89" t="n"/>
      <c r="BQ61" s="0" t="n"/>
      <c r="BR61" s="0" t="n"/>
      <c r="BS61" s="0" t="n"/>
    </row>
    <row r="62" ht="7.5" customHeight="1" s="67">
      <c r="A62" s="26">
        <f>IF(D62="","",IF(MAX($A$28:A60)="","",MAX($A$28:A60)+1))</f>
        <v/>
      </c>
      <c r="B62" s="85" t="n"/>
      <c r="C62" s="86" t="n"/>
      <c r="D62" s="27">
        <f>IF(発注書中身!E19="","",発注書中身!E19)</f>
        <v/>
      </c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6" t="n"/>
      <c r="AH62" s="26">
        <f>IF(発注書中身!F19="","",発注書中身!F19)</f>
        <v/>
      </c>
      <c r="AI62" s="85" t="n"/>
      <c r="AJ62" s="85" t="n"/>
      <c r="AK62" s="85" t="n"/>
      <c r="AL62" s="85" t="n"/>
      <c r="AM62" s="86" t="n"/>
      <c r="AN62" s="90">
        <f>IF(発注書中身!G19="","",発注書中身!G19)</f>
        <v/>
      </c>
      <c r="AO62" s="85" t="n"/>
      <c r="AP62" s="85" t="n"/>
      <c r="AQ62" s="85" t="n"/>
      <c r="AR62" s="85" t="n"/>
      <c r="AS62" s="85" t="n"/>
      <c r="AT62" s="85" t="n"/>
      <c r="AU62" s="85" t="n"/>
      <c r="AV62" s="85" t="n"/>
      <c r="AW62" s="85" t="n"/>
      <c r="AX62" s="85" t="n"/>
      <c r="AY62" s="86" t="n"/>
      <c r="AZ62" s="90">
        <f>IF(AND(AH62&lt;&gt;"",AN62&lt;&gt;""),AH62*AN62,"")</f>
        <v/>
      </c>
      <c r="BA62" s="85" t="n"/>
      <c r="BB62" s="85" t="n"/>
      <c r="BC62" s="85" t="n"/>
      <c r="BD62" s="85" t="n"/>
      <c r="BE62" s="85" t="n"/>
      <c r="BF62" s="85" t="n"/>
      <c r="BG62" s="85" t="n"/>
      <c r="BH62" s="85" t="n"/>
      <c r="BI62" s="85" t="n"/>
      <c r="BJ62" s="85" t="n"/>
      <c r="BK62" s="86" t="n"/>
      <c r="BQ62" s="0" t="n"/>
      <c r="BR62" s="0" t="n"/>
      <c r="BS62" s="0" t="n"/>
    </row>
    <row r="63" ht="7.5" customHeight="1" s="67">
      <c r="A63" s="87" t="n"/>
      <c r="B63" s="88" t="n"/>
      <c r="C63" s="89" t="n"/>
      <c r="D63" s="87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8" t="n"/>
      <c r="AB63" s="88" t="n"/>
      <c r="AC63" s="88" t="n"/>
      <c r="AD63" s="88" t="n"/>
      <c r="AE63" s="88" t="n"/>
      <c r="AF63" s="88" t="n"/>
      <c r="AG63" s="89" t="n"/>
      <c r="AH63" s="87" t="n"/>
      <c r="AI63" s="88" t="n"/>
      <c r="AJ63" s="88" t="n"/>
      <c r="AK63" s="88" t="n"/>
      <c r="AL63" s="88" t="n"/>
      <c r="AM63" s="89" t="n"/>
      <c r="AN63" s="87" t="n"/>
      <c r="AO63" s="88" t="n"/>
      <c r="AP63" s="88" t="n"/>
      <c r="AQ63" s="88" t="n"/>
      <c r="AR63" s="88" t="n"/>
      <c r="AS63" s="88" t="n"/>
      <c r="AT63" s="88" t="n"/>
      <c r="AU63" s="88" t="n"/>
      <c r="AV63" s="88" t="n"/>
      <c r="AW63" s="88" t="n"/>
      <c r="AX63" s="88" t="n"/>
      <c r="AY63" s="89" t="n"/>
      <c r="AZ63" s="87" t="n"/>
      <c r="BA63" s="88" t="n"/>
      <c r="BB63" s="88" t="n"/>
      <c r="BC63" s="88" t="n"/>
      <c r="BD63" s="88" t="n"/>
      <c r="BE63" s="88" t="n"/>
      <c r="BF63" s="88" t="n"/>
      <c r="BG63" s="88" t="n"/>
      <c r="BH63" s="88" t="n"/>
      <c r="BI63" s="88" t="n"/>
      <c r="BJ63" s="88" t="n"/>
      <c r="BK63" s="89" t="n"/>
      <c r="BQ63" s="0" t="n"/>
      <c r="BR63" s="0" t="n"/>
      <c r="BS63" s="0" t="n"/>
    </row>
    <row r="64" ht="7.5" customHeight="1" s="67">
      <c r="A64" s="26">
        <f>IF(D64="","",IF(MAX($A$28:A62)="","",MAX($A$28:A62)+1))</f>
        <v/>
      </c>
      <c r="B64" s="85" t="n"/>
      <c r="C64" s="86" t="n"/>
      <c r="D64" s="27">
        <f>IF(発注書中身!E20="","",発注書中身!E20)</f>
        <v/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6" t="n"/>
      <c r="AH64" s="26">
        <f>IF(発注書中身!F20="","",発注書中身!F20)</f>
        <v/>
      </c>
      <c r="AI64" s="85" t="n"/>
      <c r="AJ64" s="85" t="n"/>
      <c r="AK64" s="85" t="n"/>
      <c r="AL64" s="85" t="n"/>
      <c r="AM64" s="86" t="n"/>
      <c r="AN64" s="90">
        <f>IF(発注書中身!G20="","",発注書中身!G20)</f>
        <v/>
      </c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6" t="n"/>
      <c r="AZ64" s="90">
        <f>IF(AND(AH64&lt;&gt;"",AN64&lt;&gt;""),AH64*AN64,"")</f>
        <v/>
      </c>
      <c r="BA64" s="85" t="n"/>
      <c r="BB64" s="85" t="n"/>
      <c r="BC64" s="85" t="n"/>
      <c r="BD64" s="85" t="n"/>
      <c r="BE64" s="85" t="n"/>
      <c r="BF64" s="85" t="n"/>
      <c r="BG64" s="85" t="n"/>
      <c r="BH64" s="85" t="n"/>
      <c r="BI64" s="85" t="n"/>
      <c r="BJ64" s="85" t="n"/>
      <c r="BK64" s="86" t="n"/>
      <c r="BQ64" s="0" t="n"/>
      <c r="BR64" s="0" t="n"/>
      <c r="BS64" s="0" t="n"/>
    </row>
    <row r="65" ht="7.5" customHeight="1" s="67">
      <c r="A65" s="87" t="n"/>
      <c r="B65" s="88" t="n"/>
      <c r="C65" s="89" t="n"/>
      <c r="D65" s="87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8" t="n"/>
      <c r="AB65" s="88" t="n"/>
      <c r="AC65" s="88" t="n"/>
      <c r="AD65" s="88" t="n"/>
      <c r="AE65" s="88" t="n"/>
      <c r="AF65" s="88" t="n"/>
      <c r="AG65" s="89" t="n"/>
      <c r="AH65" s="87" t="n"/>
      <c r="AI65" s="88" t="n"/>
      <c r="AJ65" s="88" t="n"/>
      <c r="AK65" s="88" t="n"/>
      <c r="AL65" s="88" t="n"/>
      <c r="AM65" s="89" t="n"/>
      <c r="AN65" s="87" t="n"/>
      <c r="AO65" s="88" t="n"/>
      <c r="AP65" s="88" t="n"/>
      <c r="AQ65" s="88" t="n"/>
      <c r="AR65" s="88" t="n"/>
      <c r="AS65" s="88" t="n"/>
      <c r="AT65" s="88" t="n"/>
      <c r="AU65" s="88" t="n"/>
      <c r="AV65" s="88" t="n"/>
      <c r="AW65" s="88" t="n"/>
      <c r="AX65" s="88" t="n"/>
      <c r="AY65" s="89" t="n"/>
      <c r="AZ65" s="87" t="n"/>
      <c r="BA65" s="88" t="n"/>
      <c r="BB65" s="88" t="n"/>
      <c r="BC65" s="88" t="n"/>
      <c r="BD65" s="88" t="n"/>
      <c r="BE65" s="88" t="n"/>
      <c r="BF65" s="88" t="n"/>
      <c r="BG65" s="88" t="n"/>
      <c r="BH65" s="88" t="n"/>
      <c r="BI65" s="88" t="n"/>
      <c r="BJ65" s="88" t="n"/>
      <c r="BK65" s="89" t="n"/>
      <c r="BQ65" s="0" t="n"/>
      <c r="BR65" s="0" t="n"/>
      <c r="BS65" s="0" t="n"/>
    </row>
    <row r="66" ht="7.5" customHeight="1" s="67">
      <c r="A66" s="26">
        <f>IF(D66="","",IF(MAX($A$28:A64)="","",MAX($A$28:A64)+1))</f>
        <v/>
      </c>
      <c r="B66" s="85" t="n"/>
      <c r="C66" s="86" t="n"/>
      <c r="D66" s="27">
        <f>IF(発注書中身!E21="","",発注書中身!E21)</f>
        <v/>
      </c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6" t="n"/>
      <c r="AH66" s="26">
        <f>IF(発注書中身!F21="","",発注書中身!F21)</f>
        <v/>
      </c>
      <c r="AI66" s="85" t="n"/>
      <c r="AJ66" s="85" t="n"/>
      <c r="AK66" s="85" t="n"/>
      <c r="AL66" s="85" t="n"/>
      <c r="AM66" s="86" t="n"/>
      <c r="AN66" s="90">
        <f>IF(発注書中身!G21="","",発注書中身!G21)</f>
        <v/>
      </c>
      <c r="AO66" s="85" t="n"/>
      <c r="AP66" s="85" t="n"/>
      <c r="AQ66" s="85" t="n"/>
      <c r="AR66" s="85" t="n"/>
      <c r="AS66" s="85" t="n"/>
      <c r="AT66" s="85" t="n"/>
      <c r="AU66" s="85" t="n"/>
      <c r="AV66" s="85" t="n"/>
      <c r="AW66" s="85" t="n"/>
      <c r="AX66" s="85" t="n"/>
      <c r="AY66" s="86" t="n"/>
      <c r="AZ66" s="90">
        <f>IF(AND(AH66&lt;&gt;"",AN66&lt;&gt;""),AH66*AN66,"")</f>
        <v/>
      </c>
      <c r="BA66" s="85" t="n"/>
      <c r="BB66" s="85" t="n"/>
      <c r="BC66" s="85" t="n"/>
      <c r="BD66" s="85" t="n"/>
      <c r="BE66" s="85" t="n"/>
      <c r="BF66" s="85" t="n"/>
      <c r="BG66" s="85" t="n"/>
      <c r="BH66" s="85" t="n"/>
      <c r="BI66" s="85" t="n"/>
      <c r="BJ66" s="85" t="n"/>
      <c r="BK66" s="86" t="n"/>
      <c r="BQ66" s="0" t="n"/>
      <c r="BR66" s="0" t="n"/>
      <c r="BS66" s="0" t="n"/>
    </row>
    <row r="67" ht="7.5" customHeight="1" s="67">
      <c r="A67" s="87" t="n"/>
      <c r="B67" s="88" t="n"/>
      <c r="C67" s="89" t="n"/>
      <c r="D67" s="87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8" t="n"/>
      <c r="AB67" s="88" t="n"/>
      <c r="AC67" s="88" t="n"/>
      <c r="AD67" s="88" t="n"/>
      <c r="AE67" s="88" t="n"/>
      <c r="AF67" s="88" t="n"/>
      <c r="AG67" s="89" t="n"/>
      <c r="AH67" s="87" t="n"/>
      <c r="AI67" s="88" t="n"/>
      <c r="AJ67" s="88" t="n"/>
      <c r="AK67" s="88" t="n"/>
      <c r="AL67" s="88" t="n"/>
      <c r="AM67" s="89" t="n"/>
      <c r="AN67" s="87" t="n"/>
      <c r="AO67" s="88" t="n"/>
      <c r="AP67" s="88" t="n"/>
      <c r="AQ67" s="88" t="n"/>
      <c r="AR67" s="88" t="n"/>
      <c r="AS67" s="88" t="n"/>
      <c r="AT67" s="88" t="n"/>
      <c r="AU67" s="88" t="n"/>
      <c r="AV67" s="88" t="n"/>
      <c r="AW67" s="88" t="n"/>
      <c r="AX67" s="88" t="n"/>
      <c r="AY67" s="89" t="n"/>
      <c r="AZ67" s="87" t="n"/>
      <c r="BA67" s="88" t="n"/>
      <c r="BB67" s="88" t="n"/>
      <c r="BC67" s="88" t="n"/>
      <c r="BD67" s="88" t="n"/>
      <c r="BE67" s="88" t="n"/>
      <c r="BF67" s="88" t="n"/>
      <c r="BG67" s="88" t="n"/>
      <c r="BH67" s="88" t="n"/>
      <c r="BI67" s="88" t="n"/>
      <c r="BJ67" s="88" t="n"/>
      <c r="BK67" s="89" t="n"/>
      <c r="BQ67" s="0" t="n"/>
      <c r="BR67" s="0" t="n"/>
      <c r="BS67" s="0" t="n"/>
    </row>
    <row r="68" ht="7.5" customHeight="1" s="67">
      <c r="A68" s="26">
        <f>IF(D68="","",IF(MAX($A$28:A66)="","",MAX($A$28:A66)+1))</f>
        <v/>
      </c>
      <c r="B68" s="85" t="n"/>
      <c r="C68" s="86" t="n"/>
      <c r="D68" s="27">
        <f>IF(発注書中身!E22="","",発注書中身!E22)</f>
        <v/>
      </c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  <c r="AA68" s="85" t="n"/>
      <c r="AB68" s="85" t="n"/>
      <c r="AC68" s="85" t="n"/>
      <c r="AD68" s="85" t="n"/>
      <c r="AE68" s="85" t="n"/>
      <c r="AF68" s="85" t="n"/>
      <c r="AG68" s="86" t="n"/>
      <c r="AH68" s="26">
        <f>IF(発注書中身!F22="","",発注書中身!F22)</f>
        <v/>
      </c>
      <c r="AI68" s="85" t="n"/>
      <c r="AJ68" s="85" t="n"/>
      <c r="AK68" s="85" t="n"/>
      <c r="AL68" s="85" t="n"/>
      <c r="AM68" s="86" t="n"/>
      <c r="AN68" s="90">
        <f>IF(発注書中身!G22="","",発注書中身!G22)</f>
        <v/>
      </c>
      <c r="AO68" s="85" t="n"/>
      <c r="AP68" s="85" t="n"/>
      <c r="AQ68" s="85" t="n"/>
      <c r="AR68" s="85" t="n"/>
      <c r="AS68" s="85" t="n"/>
      <c r="AT68" s="85" t="n"/>
      <c r="AU68" s="85" t="n"/>
      <c r="AV68" s="85" t="n"/>
      <c r="AW68" s="85" t="n"/>
      <c r="AX68" s="85" t="n"/>
      <c r="AY68" s="86" t="n"/>
      <c r="AZ68" s="90">
        <f>IF(AND(AH68&lt;&gt;"",AN68&lt;&gt;""),AH68*AN68,"")</f>
        <v/>
      </c>
      <c r="BA68" s="85" t="n"/>
      <c r="BB68" s="85" t="n"/>
      <c r="BC68" s="85" t="n"/>
      <c r="BD68" s="85" t="n"/>
      <c r="BE68" s="85" t="n"/>
      <c r="BF68" s="85" t="n"/>
      <c r="BG68" s="85" t="n"/>
      <c r="BH68" s="85" t="n"/>
      <c r="BI68" s="85" t="n"/>
      <c r="BJ68" s="85" t="n"/>
      <c r="BK68" s="86" t="n"/>
      <c r="BQ68" s="0" t="n"/>
      <c r="BR68" s="0" t="n"/>
      <c r="BS68" s="0" t="n"/>
    </row>
    <row r="69" ht="7.5" customHeight="1" s="67">
      <c r="A69" s="87" t="n"/>
      <c r="B69" s="88" t="n"/>
      <c r="C69" s="89" t="n"/>
      <c r="D69" s="87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8" t="n"/>
      <c r="AB69" s="88" t="n"/>
      <c r="AC69" s="88" t="n"/>
      <c r="AD69" s="88" t="n"/>
      <c r="AE69" s="88" t="n"/>
      <c r="AF69" s="88" t="n"/>
      <c r="AG69" s="89" t="n"/>
      <c r="AH69" s="87" t="n"/>
      <c r="AI69" s="88" t="n"/>
      <c r="AJ69" s="88" t="n"/>
      <c r="AK69" s="88" t="n"/>
      <c r="AL69" s="88" t="n"/>
      <c r="AM69" s="89" t="n"/>
      <c r="AN69" s="87" t="n"/>
      <c r="AO69" s="88" t="n"/>
      <c r="AP69" s="88" t="n"/>
      <c r="AQ69" s="88" t="n"/>
      <c r="AR69" s="88" t="n"/>
      <c r="AS69" s="88" t="n"/>
      <c r="AT69" s="88" t="n"/>
      <c r="AU69" s="88" t="n"/>
      <c r="AV69" s="88" t="n"/>
      <c r="AW69" s="88" t="n"/>
      <c r="AX69" s="88" t="n"/>
      <c r="AY69" s="89" t="n"/>
      <c r="AZ69" s="87" t="n"/>
      <c r="BA69" s="88" t="n"/>
      <c r="BB69" s="88" t="n"/>
      <c r="BC69" s="88" t="n"/>
      <c r="BD69" s="88" t="n"/>
      <c r="BE69" s="88" t="n"/>
      <c r="BF69" s="88" t="n"/>
      <c r="BG69" s="88" t="n"/>
      <c r="BH69" s="88" t="n"/>
      <c r="BI69" s="88" t="n"/>
      <c r="BJ69" s="88" t="n"/>
      <c r="BK69" s="89" t="n"/>
      <c r="BQ69" s="0" t="n"/>
      <c r="BR69" s="0" t="n"/>
      <c r="BS69" s="0" t="n"/>
    </row>
    <row r="70" ht="7.5" customHeight="1" s="67">
      <c r="A70" s="26">
        <f>IF(D70="","",IF(MAX($A$28:A68)="","",MAX($A$28:A68)+1))</f>
        <v/>
      </c>
      <c r="B70" s="85" t="n"/>
      <c r="C70" s="86" t="n"/>
      <c r="D70" s="27">
        <f>IF(発注書中身!E23="","",発注書中身!E23)</f>
        <v/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  <c r="AA70" s="85" t="n"/>
      <c r="AB70" s="85" t="n"/>
      <c r="AC70" s="85" t="n"/>
      <c r="AD70" s="85" t="n"/>
      <c r="AE70" s="85" t="n"/>
      <c r="AF70" s="85" t="n"/>
      <c r="AG70" s="86" t="n"/>
      <c r="AH70" s="26">
        <f>IF(発注書中身!F23="","",発注書中身!F23)</f>
        <v/>
      </c>
      <c r="AI70" s="85" t="n"/>
      <c r="AJ70" s="85" t="n"/>
      <c r="AK70" s="85" t="n"/>
      <c r="AL70" s="85" t="n"/>
      <c r="AM70" s="86" t="n"/>
      <c r="AN70" s="90">
        <f>IF(発注書中身!G23="","",発注書中身!G23)</f>
        <v/>
      </c>
      <c r="AO70" s="85" t="n"/>
      <c r="AP70" s="85" t="n"/>
      <c r="AQ70" s="85" t="n"/>
      <c r="AR70" s="85" t="n"/>
      <c r="AS70" s="85" t="n"/>
      <c r="AT70" s="85" t="n"/>
      <c r="AU70" s="85" t="n"/>
      <c r="AV70" s="85" t="n"/>
      <c r="AW70" s="85" t="n"/>
      <c r="AX70" s="85" t="n"/>
      <c r="AY70" s="86" t="n"/>
      <c r="AZ70" s="90">
        <f>IF(AND(AH70&lt;&gt;"",AN70&lt;&gt;""),AH70*AN70,"")</f>
        <v/>
      </c>
      <c r="BA70" s="85" t="n"/>
      <c r="BB70" s="85" t="n"/>
      <c r="BC70" s="85" t="n"/>
      <c r="BD70" s="85" t="n"/>
      <c r="BE70" s="85" t="n"/>
      <c r="BF70" s="85" t="n"/>
      <c r="BG70" s="85" t="n"/>
      <c r="BH70" s="85" t="n"/>
      <c r="BI70" s="85" t="n"/>
      <c r="BJ70" s="85" t="n"/>
      <c r="BK70" s="86" t="n"/>
      <c r="BQ70" s="0" t="n"/>
      <c r="BR70" s="0" t="n"/>
      <c r="BS70" s="0" t="n"/>
    </row>
    <row r="71" ht="7.5" customHeight="1" s="67">
      <c r="A71" s="87" t="n"/>
      <c r="B71" s="88" t="n"/>
      <c r="C71" s="89" t="n"/>
      <c r="D71" s="87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8" t="n"/>
      <c r="AB71" s="88" t="n"/>
      <c r="AC71" s="88" t="n"/>
      <c r="AD71" s="88" t="n"/>
      <c r="AE71" s="88" t="n"/>
      <c r="AF71" s="88" t="n"/>
      <c r="AG71" s="89" t="n"/>
      <c r="AH71" s="87" t="n"/>
      <c r="AI71" s="88" t="n"/>
      <c r="AJ71" s="88" t="n"/>
      <c r="AK71" s="88" t="n"/>
      <c r="AL71" s="88" t="n"/>
      <c r="AM71" s="89" t="n"/>
      <c r="AN71" s="87" t="n"/>
      <c r="AO71" s="88" t="n"/>
      <c r="AP71" s="88" t="n"/>
      <c r="AQ71" s="88" t="n"/>
      <c r="AR71" s="88" t="n"/>
      <c r="AS71" s="88" t="n"/>
      <c r="AT71" s="88" t="n"/>
      <c r="AU71" s="88" t="n"/>
      <c r="AV71" s="88" t="n"/>
      <c r="AW71" s="88" t="n"/>
      <c r="AX71" s="88" t="n"/>
      <c r="AY71" s="89" t="n"/>
      <c r="AZ71" s="87" t="n"/>
      <c r="BA71" s="88" t="n"/>
      <c r="BB71" s="88" t="n"/>
      <c r="BC71" s="88" t="n"/>
      <c r="BD71" s="88" t="n"/>
      <c r="BE71" s="88" t="n"/>
      <c r="BF71" s="88" t="n"/>
      <c r="BG71" s="88" t="n"/>
      <c r="BH71" s="88" t="n"/>
      <c r="BI71" s="88" t="n"/>
      <c r="BJ71" s="88" t="n"/>
      <c r="BK71" s="89" t="n"/>
      <c r="BQ71" s="0" t="n"/>
      <c r="BR71" s="0" t="n"/>
      <c r="BS71" s="0" t="n"/>
    </row>
    <row r="72" ht="7.5" customHeight="1" s="67">
      <c r="A72" s="26">
        <f>IF(D72="","",IF(MAX($A$28:A70)="","",MAX($A$28:A70)+1))</f>
        <v/>
      </c>
      <c r="B72" s="85" t="n"/>
      <c r="C72" s="86" t="n"/>
      <c r="D72" s="27">
        <f>IF(発注書中身!E24="","",発注書中身!E24)</f>
        <v/>
      </c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  <c r="AA72" s="85" t="n"/>
      <c r="AB72" s="85" t="n"/>
      <c r="AC72" s="85" t="n"/>
      <c r="AD72" s="85" t="n"/>
      <c r="AE72" s="85" t="n"/>
      <c r="AF72" s="85" t="n"/>
      <c r="AG72" s="86" t="n"/>
      <c r="AH72" s="26">
        <f>IF(発注書中身!F24="","",発注書中身!F24)</f>
        <v/>
      </c>
      <c r="AI72" s="85" t="n"/>
      <c r="AJ72" s="85" t="n"/>
      <c r="AK72" s="85" t="n"/>
      <c r="AL72" s="85" t="n"/>
      <c r="AM72" s="86" t="n"/>
      <c r="AN72" s="90">
        <f>IF(発注書中身!G24="","",発注書中身!G24)</f>
        <v/>
      </c>
      <c r="AO72" s="85" t="n"/>
      <c r="AP72" s="85" t="n"/>
      <c r="AQ72" s="85" t="n"/>
      <c r="AR72" s="85" t="n"/>
      <c r="AS72" s="85" t="n"/>
      <c r="AT72" s="85" t="n"/>
      <c r="AU72" s="85" t="n"/>
      <c r="AV72" s="85" t="n"/>
      <c r="AW72" s="85" t="n"/>
      <c r="AX72" s="85" t="n"/>
      <c r="AY72" s="86" t="n"/>
      <c r="AZ72" s="90">
        <f>IF(AND(AH72&lt;&gt;"",AN72&lt;&gt;""),AH72*AN72,"")</f>
        <v/>
      </c>
      <c r="BA72" s="85" t="n"/>
      <c r="BB72" s="85" t="n"/>
      <c r="BC72" s="85" t="n"/>
      <c r="BD72" s="85" t="n"/>
      <c r="BE72" s="85" t="n"/>
      <c r="BF72" s="85" t="n"/>
      <c r="BG72" s="85" t="n"/>
      <c r="BH72" s="85" t="n"/>
      <c r="BI72" s="85" t="n"/>
      <c r="BJ72" s="85" t="n"/>
      <c r="BK72" s="86" t="n"/>
      <c r="BQ72" s="0" t="n"/>
      <c r="BR72" s="0" t="n"/>
      <c r="BS72" s="0" t="n"/>
    </row>
    <row r="73" ht="7.5" customHeight="1" s="67">
      <c r="A73" s="87" t="n"/>
      <c r="B73" s="88" t="n"/>
      <c r="C73" s="89" t="n"/>
      <c r="D73" s="87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8" t="n"/>
      <c r="AB73" s="88" t="n"/>
      <c r="AC73" s="88" t="n"/>
      <c r="AD73" s="88" t="n"/>
      <c r="AE73" s="88" t="n"/>
      <c r="AF73" s="88" t="n"/>
      <c r="AG73" s="89" t="n"/>
      <c r="AH73" s="87" t="n"/>
      <c r="AI73" s="88" t="n"/>
      <c r="AJ73" s="88" t="n"/>
      <c r="AK73" s="88" t="n"/>
      <c r="AL73" s="88" t="n"/>
      <c r="AM73" s="89" t="n"/>
      <c r="AN73" s="87" t="n"/>
      <c r="AO73" s="88" t="n"/>
      <c r="AP73" s="88" t="n"/>
      <c r="AQ73" s="88" t="n"/>
      <c r="AR73" s="88" t="n"/>
      <c r="AS73" s="88" t="n"/>
      <c r="AT73" s="88" t="n"/>
      <c r="AU73" s="88" t="n"/>
      <c r="AV73" s="88" t="n"/>
      <c r="AW73" s="88" t="n"/>
      <c r="AX73" s="88" t="n"/>
      <c r="AY73" s="89" t="n"/>
      <c r="AZ73" s="87" t="n"/>
      <c r="BA73" s="88" t="n"/>
      <c r="BB73" s="88" t="n"/>
      <c r="BC73" s="88" t="n"/>
      <c r="BD73" s="88" t="n"/>
      <c r="BE73" s="88" t="n"/>
      <c r="BF73" s="88" t="n"/>
      <c r="BG73" s="88" t="n"/>
      <c r="BH73" s="88" t="n"/>
      <c r="BI73" s="88" t="n"/>
      <c r="BJ73" s="88" t="n"/>
      <c r="BK73" s="89" t="n"/>
      <c r="BQ73" s="0" t="n"/>
      <c r="BR73" s="0" t="n"/>
      <c r="BS73" s="0" t="n"/>
    </row>
    <row r="74" ht="7.5" customHeight="1" s="67">
      <c r="A74" s="26">
        <f>IF(D74="","",IF(MAX($A$28:A72)="","",MAX($A$28:A72)+1))</f>
        <v/>
      </c>
      <c r="B74" s="85" t="n"/>
      <c r="C74" s="86" t="n"/>
      <c r="D74" s="27">
        <f>IF(発注書中身!E25="","",発注書中身!E25)</f>
        <v/>
      </c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  <c r="AA74" s="85" t="n"/>
      <c r="AB74" s="85" t="n"/>
      <c r="AC74" s="85" t="n"/>
      <c r="AD74" s="85" t="n"/>
      <c r="AE74" s="85" t="n"/>
      <c r="AF74" s="85" t="n"/>
      <c r="AG74" s="86" t="n"/>
      <c r="AH74" s="26">
        <f>IF(発注書中身!F25="","",発注書中身!F25)</f>
        <v/>
      </c>
      <c r="AI74" s="85" t="n"/>
      <c r="AJ74" s="85" t="n"/>
      <c r="AK74" s="85" t="n"/>
      <c r="AL74" s="85" t="n"/>
      <c r="AM74" s="86" t="n"/>
      <c r="AN74" s="90">
        <f>IF(発注書中身!G25="","",発注書中身!G25)</f>
        <v/>
      </c>
      <c r="AO74" s="85" t="n"/>
      <c r="AP74" s="85" t="n"/>
      <c r="AQ74" s="85" t="n"/>
      <c r="AR74" s="85" t="n"/>
      <c r="AS74" s="85" t="n"/>
      <c r="AT74" s="85" t="n"/>
      <c r="AU74" s="85" t="n"/>
      <c r="AV74" s="85" t="n"/>
      <c r="AW74" s="85" t="n"/>
      <c r="AX74" s="85" t="n"/>
      <c r="AY74" s="86" t="n"/>
      <c r="AZ74" s="90">
        <f>IF(AND(AH74&lt;&gt;"",AN74&lt;&gt;""),AH74*AN74,"")</f>
        <v/>
      </c>
      <c r="BA74" s="85" t="n"/>
      <c r="BB74" s="85" t="n"/>
      <c r="BC74" s="85" t="n"/>
      <c r="BD74" s="85" t="n"/>
      <c r="BE74" s="85" t="n"/>
      <c r="BF74" s="85" t="n"/>
      <c r="BG74" s="85" t="n"/>
      <c r="BH74" s="85" t="n"/>
      <c r="BI74" s="85" t="n"/>
      <c r="BJ74" s="85" t="n"/>
      <c r="BK74" s="86" t="n"/>
      <c r="BQ74" s="0" t="n"/>
      <c r="BR74" s="0" t="n"/>
      <c r="BS74" s="0" t="n"/>
    </row>
    <row r="75" ht="7.5" customHeight="1" s="67">
      <c r="A75" s="87" t="n"/>
      <c r="B75" s="88" t="n"/>
      <c r="C75" s="89" t="n"/>
      <c r="D75" s="87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8" t="n"/>
      <c r="AB75" s="88" t="n"/>
      <c r="AC75" s="88" t="n"/>
      <c r="AD75" s="88" t="n"/>
      <c r="AE75" s="88" t="n"/>
      <c r="AF75" s="88" t="n"/>
      <c r="AG75" s="89" t="n"/>
      <c r="AH75" s="87" t="n"/>
      <c r="AI75" s="88" t="n"/>
      <c r="AJ75" s="88" t="n"/>
      <c r="AK75" s="88" t="n"/>
      <c r="AL75" s="88" t="n"/>
      <c r="AM75" s="89" t="n"/>
      <c r="AN75" s="87" t="n"/>
      <c r="AO75" s="88" t="n"/>
      <c r="AP75" s="88" t="n"/>
      <c r="AQ75" s="88" t="n"/>
      <c r="AR75" s="88" t="n"/>
      <c r="AS75" s="88" t="n"/>
      <c r="AT75" s="88" t="n"/>
      <c r="AU75" s="88" t="n"/>
      <c r="AV75" s="88" t="n"/>
      <c r="AW75" s="88" t="n"/>
      <c r="AX75" s="88" t="n"/>
      <c r="AY75" s="89" t="n"/>
      <c r="AZ75" s="87" t="n"/>
      <c r="BA75" s="88" t="n"/>
      <c r="BB75" s="88" t="n"/>
      <c r="BC75" s="88" t="n"/>
      <c r="BD75" s="88" t="n"/>
      <c r="BE75" s="88" t="n"/>
      <c r="BF75" s="88" t="n"/>
      <c r="BG75" s="88" t="n"/>
      <c r="BH75" s="88" t="n"/>
      <c r="BI75" s="88" t="n"/>
      <c r="BJ75" s="88" t="n"/>
      <c r="BK75" s="89" t="n"/>
      <c r="BQ75" s="0" t="n"/>
      <c r="BR75" s="0" t="n"/>
      <c r="BS75" s="0" t="n"/>
    </row>
    <row r="76" ht="7.5" customHeight="1" s="67">
      <c r="AH76" s="0" t="n"/>
      <c r="AI76" s="0" t="n"/>
      <c r="AJ76" s="0" t="n"/>
      <c r="AK76" s="0" t="n"/>
      <c r="AL76" s="0" t="n"/>
      <c r="AM76" s="0" t="n"/>
      <c r="AN76" s="29" t="inlineStr">
        <is>
          <t>小計</t>
        </is>
      </c>
      <c r="AO76" s="85" t="n"/>
      <c r="AP76" s="85" t="n"/>
      <c r="AQ76" s="85" t="n"/>
      <c r="AR76" s="85" t="n"/>
      <c r="AS76" s="85" t="n"/>
      <c r="AT76" s="85" t="n"/>
      <c r="AU76" s="85" t="n"/>
      <c r="AV76" s="85" t="n"/>
      <c r="AW76" s="85" t="n"/>
      <c r="AX76" s="85" t="n"/>
      <c r="AY76" s="86" t="n"/>
      <c r="AZ76" s="90">
        <f>IF(発注書中身!H27="","",発注書中身!H27)</f>
        <v/>
      </c>
      <c r="BA76" s="85" t="n"/>
      <c r="BB76" s="85" t="n"/>
      <c r="BC76" s="85" t="n"/>
      <c r="BD76" s="85" t="n"/>
      <c r="BE76" s="85" t="n"/>
      <c r="BF76" s="85" t="n"/>
      <c r="BG76" s="85" t="n"/>
      <c r="BH76" s="85" t="n"/>
      <c r="BI76" s="85" t="n"/>
      <c r="BJ76" s="85" t="n"/>
      <c r="BK76" s="86" t="n"/>
    </row>
    <row r="77" ht="7.5" customHeight="1" s="67">
      <c r="AH77" s="0" t="n"/>
      <c r="AI77" s="0" t="n"/>
      <c r="AJ77" s="0" t="n"/>
      <c r="AK77" s="0" t="n"/>
      <c r="AL77" s="0" t="n"/>
      <c r="AM77" s="0" t="n"/>
      <c r="AN77" s="87" t="n"/>
      <c r="AO77" s="88" t="n"/>
      <c r="AP77" s="88" t="n"/>
      <c r="AQ77" s="88" t="n"/>
      <c r="AR77" s="88" t="n"/>
      <c r="AS77" s="88" t="n"/>
      <c r="AT77" s="88" t="n"/>
      <c r="AU77" s="88" t="n"/>
      <c r="AV77" s="88" t="n"/>
      <c r="AW77" s="88" t="n"/>
      <c r="AX77" s="88" t="n"/>
      <c r="AY77" s="89" t="n"/>
      <c r="AZ77" s="87" t="n"/>
      <c r="BA77" s="88" t="n"/>
      <c r="BB77" s="88" t="n"/>
      <c r="BC77" s="88" t="n"/>
      <c r="BD77" s="88" t="n"/>
      <c r="BE77" s="88" t="n"/>
      <c r="BF77" s="88" t="n"/>
      <c r="BG77" s="88" t="n"/>
      <c r="BH77" s="88" t="n"/>
      <c r="BI77" s="88" t="n"/>
      <c r="BJ77" s="88" t="n"/>
      <c r="BK77" s="89" t="n"/>
    </row>
    <row r="78" ht="7.5" customHeight="1" s="67">
      <c r="AH78" s="0" t="n"/>
      <c r="AI78" s="0" t="n"/>
      <c r="AJ78" s="0" t="n"/>
      <c r="AK78" s="0" t="n"/>
      <c r="AL78" s="0" t="n"/>
      <c r="AM78" s="0" t="n"/>
      <c r="AN78" s="29" t="inlineStr">
        <is>
          <t>消費税</t>
        </is>
      </c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6" t="n"/>
      <c r="AZ78" s="90">
        <f>IF(発注書中身!H28="","",発注書中身!H28)</f>
        <v/>
      </c>
      <c r="BA78" s="85" t="n"/>
      <c r="BB78" s="85" t="n"/>
      <c r="BC78" s="85" t="n"/>
      <c r="BD78" s="85" t="n"/>
      <c r="BE78" s="85" t="n"/>
      <c r="BF78" s="85" t="n"/>
      <c r="BG78" s="85" t="n"/>
      <c r="BH78" s="85" t="n"/>
      <c r="BI78" s="85" t="n"/>
      <c r="BJ78" s="85" t="n"/>
      <c r="BK78" s="86" t="n"/>
    </row>
    <row r="79" ht="7.5" customHeight="1" s="67">
      <c r="AH79" s="0" t="n"/>
      <c r="AI79" s="0" t="n"/>
      <c r="AJ79" s="0" t="n"/>
      <c r="AK79" s="0" t="n"/>
      <c r="AL79" s="0" t="n"/>
      <c r="AM79" s="0" t="n"/>
      <c r="AN79" s="87" t="n"/>
      <c r="AO79" s="88" t="n"/>
      <c r="AP79" s="88" t="n"/>
      <c r="AQ79" s="88" t="n"/>
      <c r="AR79" s="88" t="n"/>
      <c r="AS79" s="88" t="n"/>
      <c r="AT79" s="88" t="n"/>
      <c r="AU79" s="88" t="n"/>
      <c r="AV79" s="88" t="n"/>
      <c r="AW79" s="88" t="n"/>
      <c r="AX79" s="88" t="n"/>
      <c r="AY79" s="89" t="n"/>
      <c r="AZ79" s="87" t="n"/>
      <c r="BA79" s="88" t="n"/>
      <c r="BB79" s="88" t="n"/>
      <c r="BC79" s="88" t="n"/>
      <c r="BD79" s="88" t="n"/>
      <c r="BE79" s="88" t="n"/>
      <c r="BF79" s="88" t="n"/>
      <c r="BG79" s="88" t="n"/>
      <c r="BH79" s="88" t="n"/>
      <c r="BI79" s="88" t="n"/>
      <c r="BJ79" s="88" t="n"/>
      <c r="BK79" s="89" t="n"/>
    </row>
    <row r="80" ht="7.5" customHeight="1" s="67">
      <c r="AN80" s="29" t="inlineStr">
        <is>
          <t>合計</t>
        </is>
      </c>
      <c r="AO80" s="85" t="n"/>
      <c r="AP80" s="85" t="n"/>
      <c r="AQ80" s="85" t="n"/>
      <c r="AR80" s="85" t="n"/>
      <c r="AS80" s="85" t="n"/>
      <c r="AT80" s="85" t="n"/>
      <c r="AU80" s="85" t="n"/>
      <c r="AV80" s="85" t="n"/>
      <c r="AW80" s="85" t="n"/>
      <c r="AX80" s="85" t="n"/>
      <c r="AY80" s="86" t="n"/>
      <c r="AZ80" s="90">
        <f>IF(発注書中身!H29="","",発注書中身!H29)</f>
        <v/>
      </c>
      <c r="BA80" s="85" t="n"/>
      <c r="BB80" s="85" t="n"/>
      <c r="BC80" s="85" t="n"/>
      <c r="BD80" s="85" t="n"/>
      <c r="BE80" s="85" t="n"/>
      <c r="BF80" s="85" t="n"/>
      <c r="BG80" s="85" t="n"/>
      <c r="BH80" s="85" t="n"/>
      <c r="BI80" s="85" t="n"/>
      <c r="BJ80" s="85" t="n"/>
      <c r="BK80" s="86" t="n"/>
    </row>
    <row r="81" ht="7.5" customHeight="1" s="67">
      <c r="AN81" s="87" t="n"/>
      <c r="AO81" s="88" t="n"/>
      <c r="AP81" s="88" t="n"/>
      <c r="AQ81" s="88" t="n"/>
      <c r="AR81" s="88" t="n"/>
      <c r="AS81" s="88" t="n"/>
      <c r="AT81" s="88" t="n"/>
      <c r="AU81" s="88" t="n"/>
      <c r="AV81" s="88" t="n"/>
      <c r="AW81" s="88" t="n"/>
      <c r="AX81" s="88" t="n"/>
      <c r="AY81" s="89" t="n"/>
      <c r="AZ81" s="87" t="n"/>
      <c r="BA81" s="88" t="n"/>
      <c r="BB81" s="88" t="n"/>
      <c r="BC81" s="88" t="n"/>
      <c r="BD81" s="88" t="n"/>
      <c r="BE81" s="88" t="n"/>
      <c r="BF81" s="88" t="n"/>
      <c r="BG81" s="88" t="n"/>
      <c r="BH81" s="88" t="n"/>
      <c r="BI81" s="88" t="n"/>
      <c r="BJ81" s="88" t="n"/>
      <c r="BK81" s="89" t="n"/>
    </row>
    <row r="83" ht="7.5" customHeight="1" s="67">
      <c r="A83" s="48" t="inlineStr">
        <is>
          <t>備考</t>
        </is>
      </c>
      <c r="B83" s="85" t="n"/>
      <c r="C83" s="85" t="n"/>
      <c r="D83" s="86" t="n"/>
      <c r="E83" s="91">
        <f>IF(発注書中身!J2="","",発注書中身!J2)</f>
        <v/>
      </c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  <c r="AA83" s="85" t="n"/>
      <c r="AB83" s="85" t="n"/>
      <c r="AC83" s="85" t="n"/>
      <c r="AD83" s="85" t="n"/>
      <c r="AE83" s="85" t="n"/>
      <c r="AF83" s="85" t="n"/>
      <c r="AG83" s="85" t="n"/>
      <c r="AH83" s="85" t="n"/>
      <c r="AI83" s="85" t="n"/>
      <c r="AJ83" s="85" t="n"/>
      <c r="AK83" s="85" t="n"/>
      <c r="AL83" s="85" t="n"/>
      <c r="AM83" s="85" t="n"/>
      <c r="AN83" s="85" t="n"/>
      <c r="AO83" s="85" t="n"/>
      <c r="AP83" s="85" t="n"/>
      <c r="AQ83" s="85" t="n"/>
      <c r="AR83" s="85" t="n"/>
      <c r="AS83" s="85" t="n"/>
      <c r="AT83" s="85" t="n"/>
      <c r="AU83" s="85" t="n"/>
      <c r="AV83" s="85" t="n"/>
      <c r="AW83" s="85" t="n"/>
      <c r="AX83" s="85" t="n"/>
      <c r="AY83" s="85" t="n"/>
      <c r="AZ83" s="85" t="n"/>
      <c r="BA83" s="85" t="n"/>
      <c r="BB83" s="85" t="n"/>
      <c r="BC83" s="85" t="n"/>
      <c r="BD83" s="85" t="n"/>
      <c r="BE83" s="85" t="n"/>
      <c r="BF83" s="85" t="n"/>
      <c r="BG83" s="85" t="n"/>
      <c r="BH83" s="85" t="n"/>
      <c r="BI83" s="85" t="n"/>
      <c r="BJ83" s="85" t="n"/>
      <c r="BK83" s="86" t="n"/>
    </row>
    <row r="84" ht="7.5" customHeight="1" s="67">
      <c r="A84" s="92" t="n"/>
      <c r="D84" s="93" t="n"/>
      <c r="E84" s="92" t="n"/>
      <c r="BK84" s="93" t="n"/>
    </row>
    <row r="85" ht="7.5" customHeight="1" s="67">
      <c r="A85" s="92" t="n"/>
      <c r="D85" s="93" t="n"/>
      <c r="E85" s="92" t="n"/>
      <c r="BK85" s="93" t="n"/>
    </row>
    <row r="86" ht="7.5" customHeight="1" s="67">
      <c r="A86" s="92" t="n"/>
      <c r="D86" s="93" t="n"/>
      <c r="E86" s="92" t="n"/>
      <c r="BK86" s="93" t="n"/>
    </row>
    <row r="87" ht="7.5" customHeight="1" s="67">
      <c r="A87" s="92" t="n"/>
      <c r="D87" s="93" t="n"/>
      <c r="E87" s="92" t="n"/>
      <c r="BK87" s="93" t="n"/>
    </row>
    <row r="88" ht="7.5" customHeight="1" s="67">
      <c r="A88" s="92" t="n"/>
      <c r="D88" s="93" t="n"/>
      <c r="E88" s="92" t="n"/>
      <c r="BK88" s="93" t="n"/>
    </row>
    <row r="89" ht="7.5" customHeight="1" s="67">
      <c r="A89" s="92" t="n"/>
      <c r="D89" s="93" t="n"/>
      <c r="E89" s="92" t="n"/>
      <c r="BK89" s="93" t="n"/>
    </row>
    <row r="90" ht="7.5" customHeight="1" s="67">
      <c r="A90" s="92" t="n"/>
      <c r="D90" s="93" t="n"/>
      <c r="E90" s="92" t="n"/>
      <c r="BK90" s="93" t="n"/>
    </row>
    <row r="91" ht="7.5" customHeight="1" s="67">
      <c r="A91" s="92" t="n"/>
      <c r="D91" s="93" t="n"/>
      <c r="E91" s="92" t="n"/>
      <c r="BK91" s="93" t="n"/>
    </row>
    <row r="92" ht="7.5" customHeight="1" s="67">
      <c r="A92" s="92" t="n"/>
      <c r="D92" s="93" t="n"/>
      <c r="E92" s="92" t="n"/>
      <c r="BK92" s="93" t="n"/>
    </row>
    <row r="93" ht="7.5" customHeight="1" s="67">
      <c r="A93" s="92" t="n"/>
      <c r="D93" s="93" t="n"/>
      <c r="E93" s="92" t="n"/>
      <c r="BK93" s="93" t="n"/>
    </row>
    <row r="94" ht="7.5" customHeight="1" s="67">
      <c r="A94" s="92" t="n"/>
      <c r="D94" s="93" t="n"/>
      <c r="E94" s="92" t="n"/>
      <c r="BK94" s="93" t="n"/>
    </row>
    <row r="95" ht="7.5" customHeight="1" s="67">
      <c r="A95" s="92" t="n"/>
      <c r="D95" s="93" t="n"/>
      <c r="E95" s="92" t="n"/>
      <c r="BK95" s="93" t="n"/>
    </row>
    <row r="96" ht="7.5" customHeight="1" s="67">
      <c r="A96" s="92" t="n"/>
      <c r="D96" s="93" t="n"/>
      <c r="E96" s="92" t="n"/>
      <c r="BK96" s="93" t="n"/>
    </row>
    <row r="97" ht="7.5" customHeight="1" s="67">
      <c r="A97" s="92" t="n"/>
      <c r="D97" s="93" t="n"/>
      <c r="E97" s="92" t="n"/>
      <c r="BK97" s="93" t="n"/>
    </row>
    <row r="98" ht="7.5" customHeight="1" s="67">
      <c r="A98" s="87" t="n"/>
      <c r="B98" s="88" t="n"/>
      <c r="C98" s="88" t="n"/>
      <c r="D98" s="89" t="n"/>
      <c r="E98" s="87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8" t="n"/>
      <c r="AB98" s="88" t="n"/>
      <c r="AC98" s="88" t="n"/>
      <c r="AD98" s="88" t="n"/>
      <c r="AE98" s="88" t="n"/>
      <c r="AF98" s="88" t="n"/>
      <c r="AG98" s="88" t="n"/>
      <c r="AH98" s="88" t="n"/>
      <c r="AI98" s="88" t="n"/>
      <c r="AJ98" s="88" t="n"/>
      <c r="AK98" s="88" t="n"/>
      <c r="AL98" s="88" t="n"/>
      <c r="AM98" s="88" t="n"/>
      <c r="AN98" s="88" t="n"/>
      <c r="AO98" s="88" t="n"/>
      <c r="AP98" s="88" t="n"/>
      <c r="AQ98" s="88" t="n"/>
      <c r="AR98" s="88" t="n"/>
      <c r="AS98" s="88" t="n"/>
      <c r="AT98" s="88" t="n"/>
      <c r="AU98" s="88" t="n"/>
      <c r="AV98" s="88" t="n"/>
      <c r="AW98" s="88" t="n"/>
      <c r="AX98" s="88" t="n"/>
      <c r="AY98" s="88" t="n"/>
      <c r="AZ98" s="88" t="n"/>
      <c r="BA98" s="88" t="n"/>
      <c r="BB98" s="88" t="n"/>
      <c r="BC98" s="88" t="n"/>
      <c r="BD98" s="88" t="n"/>
      <c r="BE98" s="88" t="n"/>
      <c r="BF98" s="88" t="n"/>
      <c r="BG98" s="88" t="n"/>
      <c r="BH98" s="88" t="n"/>
      <c r="BI98" s="88" t="n"/>
      <c r="BJ98" s="88" t="n"/>
      <c r="BK98" s="89" t="n"/>
    </row>
  </sheetData>
  <mergeCells count="165">
    <mergeCell ref="AH54:AM55"/>
    <mergeCell ref="A44:C45"/>
    <mergeCell ref="H12:AH13"/>
    <mergeCell ref="AN8:BK9"/>
    <mergeCell ref="A34:C35"/>
    <mergeCell ref="AZ58:BK59"/>
    <mergeCell ref="D42:AG43"/>
    <mergeCell ref="AH62:AM63"/>
    <mergeCell ref="AH74:AM75"/>
    <mergeCell ref="AH56:AM57"/>
    <mergeCell ref="A30:C31"/>
    <mergeCell ref="AZ60:BK61"/>
    <mergeCell ref="H14:AH17"/>
    <mergeCell ref="G18:G19"/>
    <mergeCell ref="AZ34:BK35"/>
    <mergeCell ref="AZ68:BK69"/>
    <mergeCell ref="AN36:AY37"/>
    <mergeCell ref="A22:I24"/>
    <mergeCell ref="AH68:AM69"/>
    <mergeCell ref="D70:AG71"/>
    <mergeCell ref="AZ36:BK37"/>
    <mergeCell ref="AN32:AY33"/>
    <mergeCell ref="AZ30:BK31"/>
    <mergeCell ref="D32:AG33"/>
    <mergeCell ref="AH50:AM51"/>
    <mergeCell ref="AZ72:BK73"/>
    <mergeCell ref="G12:G13"/>
    <mergeCell ref="D56:AG57"/>
    <mergeCell ref="AN62:AY63"/>
    <mergeCell ref="AZ62:BK63"/>
    <mergeCell ref="AD22:AH24"/>
    <mergeCell ref="AR23:BK24"/>
    <mergeCell ref="A72:C73"/>
    <mergeCell ref="AZ46:BK47"/>
    <mergeCell ref="AH36:AM37"/>
    <mergeCell ref="AR19:BK20"/>
    <mergeCell ref="A62:C63"/>
    <mergeCell ref="AN70:AY71"/>
    <mergeCell ref="D74:AG75"/>
    <mergeCell ref="AZ48:BK49"/>
    <mergeCell ref="H18:AH19"/>
    <mergeCell ref="A28:C29"/>
    <mergeCell ref="D58:AG59"/>
    <mergeCell ref="AN38:AY39"/>
    <mergeCell ref="A64:C65"/>
    <mergeCell ref="AZ38:BK39"/>
    <mergeCell ref="AH28:AM29"/>
    <mergeCell ref="AN34:AY35"/>
    <mergeCell ref="AN74:AY75"/>
    <mergeCell ref="H20:AH21"/>
    <mergeCell ref="A48:C49"/>
    <mergeCell ref="AR21:BK22"/>
    <mergeCell ref="D60:AG61"/>
    <mergeCell ref="AN68:AY69"/>
    <mergeCell ref="AN40:AY41"/>
    <mergeCell ref="A70:C71"/>
    <mergeCell ref="AZ40:BK41"/>
    <mergeCell ref="D50:AG51"/>
    <mergeCell ref="D44:AG45"/>
    <mergeCell ref="AZ74:BK75"/>
    <mergeCell ref="A54:C55"/>
    <mergeCell ref="AN60:AY61"/>
    <mergeCell ref="D52:AG53"/>
    <mergeCell ref="A74:C75"/>
    <mergeCell ref="AZ76:BK77"/>
    <mergeCell ref="A56:C57"/>
    <mergeCell ref="AN50:AY51"/>
    <mergeCell ref="A12:F13"/>
    <mergeCell ref="AH38:AM39"/>
    <mergeCell ref="AN44:AY45"/>
    <mergeCell ref="AZ26:BK27"/>
    <mergeCell ref="D36:AG37"/>
    <mergeCell ref="A46:C47"/>
    <mergeCell ref="AZ66:BK67"/>
    <mergeCell ref="AM3:BK4"/>
    <mergeCell ref="AH58:AM59"/>
    <mergeCell ref="AH40:AM41"/>
    <mergeCell ref="D72:AG73"/>
    <mergeCell ref="AH60:AM61"/>
    <mergeCell ref="D62:AG63"/>
    <mergeCell ref="A14:F17"/>
    <mergeCell ref="A68:C69"/>
    <mergeCell ref="AH26:AM27"/>
    <mergeCell ref="AN78:AY79"/>
    <mergeCell ref="AH66:AM67"/>
    <mergeCell ref="A52:C53"/>
    <mergeCell ref="D64:AG65"/>
    <mergeCell ref="AN48:AY49"/>
    <mergeCell ref="AZ44:BK45"/>
    <mergeCell ref="D54:AG55"/>
    <mergeCell ref="AN13:BK14"/>
    <mergeCell ref="D26:AG27"/>
    <mergeCell ref="D38:AG39"/>
    <mergeCell ref="A83:D98"/>
    <mergeCell ref="D34:AG35"/>
    <mergeCell ref="AN15:BK16"/>
    <mergeCell ref="AZ78:BK79"/>
    <mergeCell ref="A36:C37"/>
    <mergeCell ref="D40:AG41"/>
    <mergeCell ref="A50:C51"/>
    <mergeCell ref="G14:G17"/>
    <mergeCell ref="AN80:AY81"/>
    <mergeCell ref="E83:BK98"/>
    <mergeCell ref="AZ80:BK81"/>
    <mergeCell ref="AN76:AY77"/>
    <mergeCell ref="AN26:AY27"/>
    <mergeCell ref="A26:C27"/>
    <mergeCell ref="AN23:AQ24"/>
    <mergeCell ref="Z1:AL4"/>
    <mergeCell ref="A18:F19"/>
    <mergeCell ref="AZ32:BK33"/>
    <mergeCell ref="AN19:AQ20"/>
    <mergeCell ref="AZ50:BK51"/>
    <mergeCell ref="D68:AG69"/>
    <mergeCell ref="AN58:AY59"/>
    <mergeCell ref="A20:F21"/>
    <mergeCell ref="AH46:AM47"/>
    <mergeCell ref="AN52:AY53"/>
    <mergeCell ref="AN66:AY67"/>
    <mergeCell ref="AZ52:BK53"/>
    <mergeCell ref="AN17:BK18"/>
    <mergeCell ref="AN42:AY43"/>
    <mergeCell ref="A38:C39"/>
    <mergeCell ref="AZ42:BK43"/>
    <mergeCell ref="J22:J24"/>
    <mergeCell ref="AH32:AM33"/>
    <mergeCell ref="D30:AG31"/>
    <mergeCell ref="A58:C59"/>
    <mergeCell ref="A40:C41"/>
    <mergeCell ref="AN28:AY29"/>
    <mergeCell ref="A5:AH7"/>
    <mergeCell ref="AZ28:BK29"/>
    <mergeCell ref="A60:C61"/>
    <mergeCell ref="AH52:AM53"/>
    <mergeCell ref="AN21:AQ22"/>
    <mergeCell ref="G20:G21"/>
    <mergeCell ref="AN30:AY31"/>
    <mergeCell ref="AN64:AY65"/>
    <mergeCell ref="AH42:AM43"/>
    <mergeCell ref="A66:C67"/>
    <mergeCell ref="AH72:AM73"/>
    <mergeCell ref="AZ64:BK65"/>
    <mergeCell ref="AZ70:BK71"/>
    <mergeCell ref="AM1:BK2"/>
    <mergeCell ref="AN54:AY55"/>
    <mergeCell ref="D46:AG47"/>
    <mergeCell ref="AN72:AY73"/>
    <mergeCell ref="AZ54:BK55"/>
    <mergeCell ref="AH44:AM45"/>
    <mergeCell ref="A8:AH9"/>
    <mergeCell ref="AH34:AM35"/>
    <mergeCell ref="AN56:AY57"/>
    <mergeCell ref="D48:AG49"/>
    <mergeCell ref="AH64:AM65"/>
    <mergeCell ref="AN46:AY47"/>
    <mergeCell ref="AZ56:BK57"/>
    <mergeCell ref="A32:C33"/>
    <mergeCell ref="D66:AG67"/>
    <mergeCell ref="A10:AH11"/>
    <mergeCell ref="K22:AC24"/>
    <mergeCell ref="A42:C43"/>
    <mergeCell ref="AH48:AM49"/>
    <mergeCell ref="AH30:AM31"/>
    <mergeCell ref="AH70:AM71"/>
    <mergeCell ref="D28:AG29"/>
  </mergeCells>
  <pageMargins left="0.7" right="0.7" top="0.75" bottom="0.75" header="0.3" footer="0.3"/>
  <pageSetup orientation="portrait" paperSize="9" scale="9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F12" sqref="F12"/>
    </sheetView>
  </sheetViews>
  <sheetFormatPr baseColWidth="8" defaultColWidth="2.375" defaultRowHeight="14.25"/>
  <cols>
    <col width="8" bestFit="1" customWidth="1" style="67" min="1" max="1"/>
    <col width="5.5" bestFit="1" customWidth="1" style="67" min="2" max="2"/>
    <col width="3.5" bestFit="1" customWidth="1" style="67" min="3" max="4"/>
    <col width="6.375" bestFit="1" customWidth="1" style="67" min="5" max="5"/>
    <col width="75.125" bestFit="1" customWidth="1" style="67" min="6" max="6"/>
    <col width="15" bestFit="1" customWidth="1" style="67" min="7" max="7"/>
  </cols>
  <sheetData>
    <row r="1">
      <c r="A1" s="16" t="inlineStr">
        <is>
          <t>宛名</t>
        </is>
      </c>
      <c r="B1" s="16" t="inlineStr">
        <is>
          <t>年</t>
        </is>
      </c>
      <c r="C1" s="16" t="inlineStr">
        <is>
          <t>月</t>
        </is>
      </c>
      <c r="D1" s="17" t="inlineStr">
        <is>
          <t>日</t>
        </is>
      </c>
      <c r="E1" s="16" t="inlineStr">
        <is>
          <t>通番号</t>
        </is>
      </c>
      <c r="F1" s="16" t="inlineStr">
        <is>
          <t>納品場所</t>
        </is>
      </c>
      <c r="G1" s="16" t="inlineStr">
        <is>
          <t>支払条件</t>
        </is>
      </c>
    </row>
    <row r="2">
      <c r="A2" s="6" t="n"/>
      <c r="B2" s="1" t="n">
        <v>2020</v>
      </c>
      <c r="C2" s="1" t="n">
        <v>1</v>
      </c>
      <c r="D2" s="6" t="n">
        <v>1</v>
      </c>
      <c r="E2" s="1" t="n">
        <v>1</v>
      </c>
      <c r="F2" s="1" t="inlineStr">
        <is>
          <t>別途打合せ</t>
        </is>
      </c>
      <c r="G2" s="1" t="inlineStr">
        <is>
          <t>別途打合せ</t>
        </is>
      </c>
    </row>
    <row r="3">
      <c r="A3" s="6" t="inlineStr">
        <is>
          <t>株式会社</t>
        </is>
      </c>
      <c r="B3" s="1" t="n">
        <v>2021</v>
      </c>
      <c r="C3" s="1" t="n">
        <v>2</v>
      </c>
      <c r="D3" s="6" t="n">
        <v>2</v>
      </c>
      <c r="E3" s="1" t="n">
        <v>2</v>
      </c>
      <c r="F3" s="1" t="inlineStr">
        <is>
          <t>〒802-0001 北九州市小倉北区浅野一丁目3番1号</t>
        </is>
      </c>
      <c r="G3" s="1" t="inlineStr">
        <is>
          <t>貴社指定方法</t>
        </is>
      </c>
    </row>
    <row r="4" ht="28.5" customHeight="1" s="67">
      <c r="A4" s="7" t="inlineStr">
        <is>
          <t>(株)</t>
        </is>
      </c>
      <c r="B4" s="1" t="n">
        <v>2022</v>
      </c>
      <c r="C4" s="5" t="n">
        <v>3</v>
      </c>
      <c r="D4" s="7" t="n">
        <v>3</v>
      </c>
      <c r="E4" s="1" t="n">
        <v>3</v>
      </c>
      <c r="F4" s="20" t="inlineStr">
        <is>
          <t>〒802-0001 北九州市小倉北区浅野一丁目1番1号 
ビエラ小倉1F DISCOVERYcoworking-103</t>
        </is>
      </c>
      <c r="G4" s="5" t="inlineStr">
        <is>
          <t>月末締翌月末支払</t>
        </is>
      </c>
    </row>
    <row r="5">
      <c r="A5" s="6" t="inlineStr">
        <is>
          <t>有限会社</t>
        </is>
      </c>
      <c r="B5" s="1" t="n">
        <v>2023</v>
      </c>
      <c r="C5" s="1" t="n">
        <v>4</v>
      </c>
      <c r="D5" s="6" t="n">
        <v>4</v>
      </c>
      <c r="E5" s="1" t="n">
        <v>4</v>
      </c>
      <c r="F5" s="5" t="inlineStr">
        <is>
          <t>〒802-0001 北九州市小倉北区浅野3-8-1 AIMビル6F</t>
        </is>
      </c>
      <c r="G5" s="1" t="inlineStr">
        <is>
          <t>前入金</t>
        </is>
      </c>
    </row>
    <row r="6">
      <c r="A6" s="6" t="inlineStr">
        <is>
          <t>(有)</t>
        </is>
      </c>
      <c r="B6" s="1" t="n">
        <v>2024</v>
      </c>
      <c r="C6" s="1" t="n">
        <v>5</v>
      </c>
      <c r="D6" s="6" t="n">
        <v>5</v>
      </c>
      <c r="E6" s="1" t="n">
        <v>5</v>
      </c>
      <c r="F6" s="1" t="inlineStr">
        <is>
          <t>〒804-0015 北九州市戸畑区仙水町1-1 4号棟255</t>
        </is>
      </c>
    </row>
    <row r="7" ht="28.5" customHeight="1" s="67">
      <c r="A7" s="6" t="inlineStr">
        <is>
          <t>合同会社</t>
        </is>
      </c>
      <c r="B7" s="1" t="n">
        <v>2025</v>
      </c>
      <c r="C7" s="1" t="n">
        <v>6</v>
      </c>
      <c r="D7" s="6" t="n">
        <v>6</v>
      </c>
      <c r="E7" s="1" t="n">
        <v>6</v>
      </c>
      <c r="F7" s="20" t="inlineStr">
        <is>
          <t>〒802-0001 北九州市小倉北区浅野二丁目14番3号
あるあるcity2号館小倉B1F</t>
        </is>
      </c>
    </row>
    <row r="8" ht="28.5" customHeight="1" s="67">
      <c r="A8" s="6" t="inlineStr">
        <is>
          <t>(同)</t>
        </is>
      </c>
      <c r="B8" s="1" t="n">
        <v>2026</v>
      </c>
      <c r="C8" s="1" t="n">
        <v>7</v>
      </c>
      <c r="D8" s="6" t="n">
        <v>7</v>
      </c>
      <c r="E8" s="1" t="n">
        <v>7</v>
      </c>
      <c r="F8" s="24" t="inlineStr">
        <is>
          <t>〒471-0834 愛知県豊田市寿町6-1
豊田油気株式会社 杉森裕貴 様</t>
        </is>
      </c>
    </row>
    <row r="9">
      <c r="B9" s="1" t="n">
        <v>2027</v>
      </c>
      <c r="C9" s="1" t="n">
        <v>8</v>
      </c>
      <c r="D9" s="6" t="n">
        <v>8</v>
      </c>
      <c r="E9" s="1" t="n">
        <v>8</v>
      </c>
    </row>
    <row r="10">
      <c r="B10" s="1" t="n">
        <v>2028</v>
      </c>
      <c r="C10" s="1" t="n">
        <v>9</v>
      </c>
      <c r="D10" s="6" t="n">
        <v>9</v>
      </c>
      <c r="E10" s="1" t="n">
        <v>9</v>
      </c>
    </row>
    <row r="11">
      <c r="B11" s="1" t="n">
        <v>2029</v>
      </c>
      <c r="C11" s="1" t="n">
        <v>10</v>
      </c>
      <c r="D11" s="6" t="n">
        <v>10</v>
      </c>
      <c r="E11" s="1" t="n">
        <v>10</v>
      </c>
    </row>
    <row r="12">
      <c r="C12" s="1" t="n">
        <v>11</v>
      </c>
      <c r="D12" s="6" t="n">
        <v>11</v>
      </c>
      <c r="E12" s="1" t="n">
        <v>11</v>
      </c>
    </row>
    <row r="13">
      <c r="C13" s="1" t="n">
        <v>12</v>
      </c>
      <c r="D13" s="6" t="n">
        <v>12</v>
      </c>
      <c r="E13" s="1" t="n">
        <v>12</v>
      </c>
    </row>
    <row r="14">
      <c r="D14" s="6" t="n">
        <v>13</v>
      </c>
      <c r="E14" s="1" t="n">
        <v>13</v>
      </c>
    </row>
    <row r="15">
      <c r="D15" s="6" t="n">
        <v>14</v>
      </c>
      <c r="E15" s="1" t="n">
        <v>14</v>
      </c>
    </row>
    <row r="16">
      <c r="D16" s="6" t="n">
        <v>15</v>
      </c>
      <c r="E16" s="1" t="n">
        <v>15</v>
      </c>
    </row>
    <row r="17">
      <c r="D17" s="6" t="n">
        <v>16</v>
      </c>
      <c r="E17" s="1" t="n">
        <v>16</v>
      </c>
    </row>
    <row r="18">
      <c r="D18" s="6" t="n">
        <v>17</v>
      </c>
      <c r="E18" s="1" t="n">
        <v>17</v>
      </c>
    </row>
    <row r="19">
      <c r="D19" s="6" t="n">
        <v>18</v>
      </c>
      <c r="E19" s="1" t="n">
        <v>18</v>
      </c>
    </row>
    <row r="20">
      <c r="D20" s="6" t="n">
        <v>19</v>
      </c>
      <c r="E20" s="1" t="n">
        <v>19</v>
      </c>
    </row>
    <row r="21">
      <c r="D21" s="6" t="n">
        <v>20</v>
      </c>
      <c r="E21" s="1" t="n">
        <v>20</v>
      </c>
    </row>
    <row r="22">
      <c r="D22" s="6" t="n">
        <v>21</v>
      </c>
      <c r="E22" s="1" t="n">
        <v>21</v>
      </c>
    </row>
    <row r="23">
      <c r="D23" s="6" t="n">
        <v>22</v>
      </c>
      <c r="E23" s="1" t="n">
        <v>22</v>
      </c>
    </row>
    <row r="24">
      <c r="D24" s="6" t="n">
        <v>23</v>
      </c>
      <c r="E24" s="1" t="n">
        <v>23</v>
      </c>
    </row>
    <row r="25">
      <c r="D25" s="6" t="n">
        <v>24</v>
      </c>
      <c r="E25" s="1" t="n">
        <v>24</v>
      </c>
    </row>
    <row r="26">
      <c r="D26" s="6" t="n">
        <v>25</v>
      </c>
      <c r="E26" s="1" t="n">
        <v>25</v>
      </c>
    </row>
    <row r="27">
      <c r="D27" s="6" t="n">
        <v>26</v>
      </c>
      <c r="E27" s="1" t="n">
        <v>26</v>
      </c>
    </row>
    <row r="28">
      <c r="D28" s="6" t="n">
        <v>27</v>
      </c>
      <c r="E28" s="1" t="n">
        <v>27</v>
      </c>
    </row>
    <row r="29">
      <c r="D29" s="6" t="n">
        <v>28</v>
      </c>
      <c r="E29" s="1" t="n">
        <v>28</v>
      </c>
    </row>
    <row r="30">
      <c r="D30" s="6" t="n">
        <v>29</v>
      </c>
      <c r="E30" s="1" t="n">
        <v>29</v>
      </c>
    </row>
    <row r="31">
      <c r="D31" s="6" t="n">
        <v>30</v>
      </c>
      <c r="E31" s="1" t="n">
        <v>30</v>
      </c>
    </row>
    <row r="32">
      <c r="D32" s="6" t="n">
        <v>31</v>
      </c>
      <c r="E32" s="1" t="n">
        <v>31</v>
      </c>
    </row>
    <row r="33">
      <c r="E33" s="1" t="n">
        <v>32</v>
      </c>
    </row>
    <row r="34">
      <c r="E34" s="1" t="n">
        <v>33</v>
      </c>
    </row>
    <row r="35">
      <c r="E35" s="1" t="n">
        <v>34</v>
      </c>
    </row>
    <row r="36">
      <c r="E36" s="1" t="n">
        <v>35</v>
      </c>
    </row>
    <row r="37">
      <c r="E37" s="1" t="n">
        <v>36</v>
      </c>
    </row>
    <row r="38">
      <c r="E38" s="1" t="n">
        <v>37</v>
      </c>
    </row>
    <row r="39">
      <c r="E39" s="1" t="n">
        <v>38</v>
      </c>
    </row>
    <row r="40">
      <c r="E40" s="1" t="n">
        <v>39</v>
      </c>
    </row>
    <row r="41">
      <c r="E41" s="1" t="n">
        <v>40</v>
      </c>
    </row>
    <row r="42">
      <c r="E42" s="1" t="n">
        <v>41</v>
      </c>
    </row>
    <row r="43">
      <c r="E43" s="1" t="n">
        <v>42</v>
      </c>
    </row>
    <row r="44">
      <c r="E44" s="1" t="n">
        <v>43</v>
      </c>
    </row>
    <row r="45">
      <c r="E45" s="1" t="n">
        <v>44</v>
      </c>
    </row>
    <row r="46">
      <c r="E46" s="1" t="n">
        <v>45</v>
      </c>
    </row>
    <row r="47">
      <c r="E47" s="1" t="n">
        <v>46</v>
      </c>
    </row>
    <row r="48">
      <c r="E48" s="1" t="n">
        <v>47</v>
      </c>
    </row>
    <row r="49">
      <c r="E49" s="1" t="n">
        <v>48</v>
      </c>
    </row>
    <row r="50">
      <c r="E50" s="1" t="n">
        <v>49</v>
      </c>
    </row>
    <row r="51">
      <c r="E51" s="1" t="n">
        <v>50</v>
      </c>
    </row>
    <row r="52">
      <c r="E52" s="1" t="n">
        <v>51</v>
      </c>
    </row>
    <row r="53">
      <c r="E53" s="1" t="n">
        <v>52</v>
      </c>
    </row>
    <row r="54">
      <c r="E54" s="1" t="n">
        <v>53</v>
      </c>
    </row>
    <row r="55">
      <c r="E55" s="1" t="n">
        <v>54</v>
      </c>
    </row>
    <row r="56">
      <c r="E56" s="1" t="n">
        <v>55</v>
      </c>
    </row>
    <row r="57">
      <c r="E57" s="1" t="n">
        <v>56</v>
      </c>
    </row>
    <row r="58">
      <c r="E58" s="1" t="n">
        <v>57</v>
      </c>
    </row>
    <row r="59">
      <c r="E59" s="1" t="n">
        <v>58</v>
      </c>
    </row>
    <row r="60">
      <c r="E60" s="1" t="n">
        <v>59</v>
      </c>
    </row>
    <row r="61">
      <c r="E61" s="1" t="n">
        <v>60</v>
      </c>
    </row>
    <row r="62">
      <c r="E62" s="1" t="n">
        <v>61</v>
      </c>
    </row>
    <row r="63">
      <c r="E63" s="1" t="n">
        <v>62</v>
      </c>
    </row>
    <row r="64">
      <c r="E64" s="1" t="n">
        <v>63</v>
      </c>
    </row>
    <row r="65">
      <c r="E65" s="1" t="n">
        <v>64</v>
      </c>
    </row>
    <row r="66">
      <c r="E66" s="1" t="n">
        <v>65</v>
      </c>
    </row>
    <row r="67">
      <c r="E67" s="1" t="n">
        <v>66</v>
      </c>
    </row>
    <row r="68">
      <c r="E68" s="1" t="n">
        <v>67</v>
      </c>
    </row>
    <row r="69">
      <c r="E69" s="1" t="n">
        <v>68</v>
      </c>
    </row>
    <row r="70">
      <c r="E70" s="1" t="n">
        <v>69</v>
      </c>
    </row>
    <row r="71">
      <c r="E71" s="1" t="n">
        <v>70</v>
      </c>
    </row>
    <row r="72">
      <c r="E72" s="1" t="n">
        <v>71</v>
      </c>
    </row>
    <row r="73">
      <c r="E73" s="1" t="n">
        <v>72</v>
      </c>
    </row>
    <row r="74">
      <c r="E74" s="1" t="n">
        <v>73</v>
      </c>
    </row>
    <row r="75">
      <c r="E75" s="1" t="n">
        <v>74</v>
      </c>
    </row>
    <row r="76">
      <c r="E76" s="1" t="n">
        <v>75</v>
      </c>
    </row>
    <row r="77">
      <c r="E77" s="1" t="n">
        <v>76</v>
      </c>
    </row>
    <row r="78">
      <c r="E78" s="1" t="n">
        <v>77</v>
      </c>
    </row>
    <row r="79">
      <c r="E79" s="1" t="n">
        <v>78</v>
      </c>
    </row>
    <row r="80">
      <c r="E80" s="1" t="n">
        <v>79</v>
      </c>
    </row>
    <row r="81">
      <c r="E81" s="1" t="n">
        <v>80</v>
      </c>
    </row>
    <row r="82">
      <c r="E82" s="1" t="n">
        <v>81</v>
      </c>
    </row>
    <row r="83">
      <c r="E83" s="1" t="n">
        <v>82</v>
      </c>
    </row>
    <row r="84">
      <c r="E84" s="1" t="n">
        <v>83</v>
      </c>
    </row>
    <row r="85">
      <c r="E85" s="1" t="n">
        <v>84</v>
      </c>
    </row>
    <row r="86">
      <c r="E86" s="1" t="n">
        <v>85</v>
      </c>
    </row>
    <row r="87">
      <c r="E87" s="1" t="n">
        <v>86</v>
      </c>
    </row>
    <row r="88">
      <c r="E88" s="1" t="n">
        <v>87</v>
      </c>
    </row>
    <row r="89">
      <c r="E89" s="1" t="n">
        <v>88</v>
      </c>
    </row>
    <row r="90">
      <c r="E90" s="1" t="n">
        <v>89</v>
      </c>
    </row>
    <row r="91">
      <c r="E91" s="1" t="n">
        <v>90</v>
      </c>
    </row>
    <row r="92">
      <c r="E92" s="1" t="n">
        <v>91</v>
      </c>
    </row>
    <row r="93">
      <c r="E93" s="1" t="n">
        <v>92</v>
      </c>
    </row>
    <row r="94">
      <c r="E94" s="1" t="n">
        <v>93</v>
      </c>
    </row>
    <row r="95">
      <c r="E95" s="1" t="n">
        <v>94</v>
      </c>
    </row>
    <row r="96">
      <c r="E96" s="1" t="n">
        <v>95</v>
      </c>
    </row>
    <row r="97">
      <c r="E97" s="1" t="n">
        <v>96</v>
      </c>
    </row>
    <row r="98">
      <c r="E98" s="1" t="n">
        <v>97</v>
      </c>
    </row>
    <row r="99">
      <c r="E99" s="1" t="n">
        <v>98</v>
      </c>
    </row>
    <row r="100">
      <c r="E100" s="1" t="n">
        <v>99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片山将</dc:creator>
  <dcterms:created xmlns:dcterms="http://purl.org/dc/terms/" xmlns:xsi="http://www.w3.org/2001/XMLSchema-instance" xsi:type="dcterms:W3CDTF">2020-12-01T03:08:56Z</dcterms:created>
  <dcterms:modified xmlns:dcterms="http://purl.org/dc/terms/" xmlns:xsi="http://www.w3.org/2001/XMLSchema-instance" xsi:type="dcterms:W3CDTF">2026-04-01T09:17:30Z</dcterms:modified>
  <cp:lastModifiedBy>祐樹 松田</cp:lastModifiedBy>
  <cp:lastPrinted>2026-03-02T05:00:56Z</cp:lastPrinted>
</cp:coreProperties>
</file>